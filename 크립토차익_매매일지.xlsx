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운용규칙" sheetId="2" state="visible" r:id="rId4"/>
    <sheet name="매매일지" sheetId="3" state="visible" r:id="rId5"/>
    <sheet name="재고" sheetId="4" state="visible" r:id="rId6"/>
    <sheet name="일일PnL" sheetId="5" state="visible" r:id="rId7"/>
    <sheet name="주간회고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arb_monitor.py </t>
        </r>
        <r>
          <rPr>
            <sz val="10"/>
            <rFont val="Noto Sans CJK SC"/>
            <family val="2"/>
          </rPr>
          <t xml:space="preserve">화면의 순괴리</t>
        </r>
        <r>
          <rPr>
            <sz val="10"/>
            <rFont val="Arial"/>
            <family val="2"/>
          </rPr>
          <t xml:space="preserve">(net_bp). </t>
        </r>
        <r>
          <rPr>
            <sz val="10"/>
            <rFont val="Noto Sans CJK SC"/>
            <family val="2"/>
          </rPr>
          <t xml:space="preserve">진입 판단 당시 기대한 엣지</t>
        </r>
        <r>
          <rPr>
            <sz val="10"/>
            <rFont val="Arial"/>
            <family val="2"/>
          </rPr>
          <t xml:space="preserve">.</t>
        </r>
      </text>
    </comment>
    <comment ref="Q4" authorId="0">
      <text>
        <r>
          <rPr>
            <sz val="10"/>
            <rFont val="Noto Sans CJK SC"/>
            <family val="2"/>
          </rPr>
          <t xml:space="preserve">기대 순괴리 − 실현 순괴리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양수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생각보다 덜 벌었다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체결 지연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호가 이동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Noto Sans CJK SC"/>
            <family val="2"/>
          </rPr>
          <t xml:space="preserve">차익거래는 총수량을 바꾸지 않으므로 총수량 </t>
        </r>
        <r>
          <rPr>
            <sz val="10"/>
            <rFont val="Arial"/>
            <family val="2"/>
          </rPr>
          <t xml:space="preserve">× (</t>
        </r>
        <r>
          <rPr>
            <sz val="10"/>
            <rFont val="Noto Sans CJK SC"/>
            <family val="2"/>
          </rPr>
          <t xml:space="preserve">종가−전일종가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로 계산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Noto Sans CJK SC"/>
            <family val="2"/>
          </rPr>
          <t xml:space="preserve">코인 가격 변동에 따른 손익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차익과 무관한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방향성 리스크</t>
        </r>
        <r>
          <rPr>
            <sz val="10"/>
            <rFont val="Arial"/>
            <family val="2"/>
          </rPr>
          <t xml:space="preserve">'. </t>
        </r>
        <r>
          <rPr>
            <sz val="10"/>
            <rFont val="Noto Sans CJK SC"/>
            <family val="2"/>
          </rPr>
          <t xml:space="preserve">이게 크면 헤지 필요성의 근거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<sst xmlns="http://schemas.openxmlformats.org/spreadsheetml/2006/main" count="117" uniqueCount="108">
  <si>
    <t xml:space="preserve">크립토 차익거래 매매일지 — 사용법</t>
  </si>
  <si>
    <r>
      <rPr>
        <i val="true"/>
        <sz val="9"/>
        <color rgb="FF595959"/>
        <rFont val="Noto Sans CJK SC"/>
        <family val="2"/>
      </rPr>
      <t xml:space="preserve">업비트↔빗썸 현물 차익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데스크 운영 방식 실습용</t>
    </r>
  </si>
  <si>
    <t xml:space="preserve">목적</t>
  </si>
  <si>
    <r>
      <rPr>
        <sz val="10"/>
        <rFont val="Noto Sans CJK SC"/>
        <family val="2"/>
      </rPr>
      <t xml:space="preserve">수익률보다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손익이 어디서 왔는지 설명할 수 있는 기록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남기는 것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포트폴리오용 근거 자료</t>
    </r>
    <r>
      <rPr>
        <sz val="10"/>
        <rFont val="Arial"/>
        <family val="0"/>
        <charset val="1"/>
      </rPr>
      <t xml:space="preserve">.</t>
    </r>
  </si>
  <si>
    <t xml:space="preserve">색 규칙</t>
  </si>
  <si>
    <r>
      <rPr>
        <sz val="10"/>
        <rFont val="Noto Sans CJK SC"/>
        <family val="2"/>
      </rPr>
      <t xml:space="preserve">연노랑 헤더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직접 입력하는 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회색 헤더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자동 계산 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입력값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.</t>
    </r>
  </si>
  <si>
    <t xml:space="preserve">예시 행</t>
  </si>
  <si>
    <r>
      <rPr>
        <sz val="10"/>
        <rFont val="Noto Sans CJK SC"/>
        <family val="2"/>
      </rPr>
      <t xml:space="preserve">각 시트 첫 데이터 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기울임체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작성 예시입니다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기록 시작 전에 덮어쓰거나 지우세요</t>
    </r>
    <r>
      <rPr>
        <sz val="10"/>
        <rFont val="Arial"/>
        <family val="0"/>
        <charset val="1"/>
      </rPr>
      <t xml:space="preserve">.</t>
    </r>
  </si>
  <si>
    <t xml:space="preserve">① 운용규칙</t>
  </si>
  <si>
    <r>
      <rPr>
        <sz val="10"/>
        <rFont val="Noto Sans CJK SC"/>
        <family val="2"/>
      </rPr>
      <t xml:space="preserve">거래 시작 전에 먼저 채우기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수수료는 본인 계정 실제 등급으로 확인 후 입력</t>
    </r>
    <r>
      <rPr>
        <sz val="10"/>
        <rFont val="Arial"/>
        <family val="0"/>
        <charset val="1"/>
      </rPr>
      <t xml:space="preserve">.</t>
    </r>
  </si>
  <si>
    <t xml:space="preserve">② 매매일지</t>
  </si>
  <si>
    <r>
      <rPr>
        <sz val="10"/>
        <rFont val="Noto Sans CJK SC"/>
        <family val="2"/>
      </rPr>
      <t xml:space="preserve">거래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매도 거래소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모니터 순괴리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체결가만 입력하면 나머지 자동 계산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</si>
  <si>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모니터 순괴리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arb_monitor.py </t>
    </r>
    <r>
      <rPr>
        <sz val="10"/>
        <rFont val="Noto Sans CJK SC"/>
        <family val="2"/>
      </rPr>
      <t xml:space="preserve">화면에 표시된 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기대 엣지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순괴리와의 차이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실행 슬리피지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</si>
  <si>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규칙체크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운용규칙의 최소 순괴리</t>
    </r>
    <r>
      <rPr>
        <sz val="10"/>
        <rFont val="Arial"/>
        <family val="0"/>
        <charset val="1"/>
      </rPr>
      <t xml:space="preserve">·1</t>
    </r>
    <r>
      <rPr>
        <sz val="10"/>
        <rFont val="Noto Sans CJK SC"/>
        <family val="2"/>
      </rPr>
      <t xml:space="preserve">회 최대 금액 기준으로 자동 판정</t>
    </r>
    <r>
      <rPr>
        <sz val="10"/>
        <rFont val="Arial"/>
        <family val="0"/>
        <charset val="1"/>
      </rPr>
      <t xml:space="preserve">.</t>
    </r>
  </si>
  <si>
    <t xml:space="preserve">③ 재고</t>
  </si>
  <si>
    <r>
      <rPr>
        <sz val="10"/>
        <rFont val="Noto Sans CJK SC"/>
        <family val="2"/>
      </rPr>
      <t xml:space="preserve">매일 장 마감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본인이 정한 시각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코인별 양 거래소 보유수량과 종가 입력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</si>
  <si>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순수 차익거래는 한쪽 매수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다른 쪽 매도라 총수량이 변하지 않음 → 재고평가손익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총수량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가격변동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</si>
  <si>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업비트 비중이 운용규칙 밴드를 벗어나면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리밸런싱 필요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표시 → 코인 이동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출금수수료 발생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</si>
  <si>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④ 일일</t>
    </r>
    <r>
      <rPr>
        <b val="true"/>
        <sz val="10"/>
        <rFont val="Arial"/>
        <family val="0"/>
        <charset val="1"/>
      </rPr>
      <t xml:space="preserve">PnL</t>
    </r>
  </si>
  <si>
    <r>
      <rPr>
        <sz val="10"/>
        <rFont val="Noto Sans CJK SC"/>
        <family val="2"/>
      </rPr>
      <t xml:space="preserve">날짜만 입력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리밸런싱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출금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비용 입력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손익을 스프레드수익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수수료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리밸런싱비용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재고평가로 분해</t>
    </r>
    <r>
      <rPr>
        <sz val="10"/>
        <rFont val="Arial"/>
        <family val="0"/>
        <charset val="1"/>
      </rPr>
      <t xml:space="preserve">.</t>
    </r>
  </si>
  <si>
    <t xml:space="preserve">⑤ 주간회고</t>
  </si>
  <si>
    <r>
      <rPr>
        <sz val="10"/>
        <rFont val="Noto Sans CJK SC"/>
        <family val="2"/>
      </rPr>
      <t xml:space="preserve">주차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기간 입력 시 지표 자동 집계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잘된 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문제점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다음 주 규칙 수정을 서술</t>
    </r>
    <r>
      <rPr>
        <sz val="10"/>
        <rFont val="Arial"/>
        <family val="0"/>
        <charset val="1"/>
      </rPr>
      <t xml:space="preserve">.</t>
    </r>
  </si>
  <si>
    <t xml:space="preserve">면접 포인트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</si>
  <si>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차익손익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재고평가손익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분리해 보여줄 수 있으면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왜 데스크가 재고를 헤지하는지 설명할 근거가 생김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</si>
  <si>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운용규칙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거래 시작 전 확정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</si>
  <si>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노란 셀만 수정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규칙을 바꾸면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주간회고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에 변경 사유를 남길 것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</si>
  <si>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</si>
  <si>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</si>
  <si>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설명</t>
  </si>
  <si>
    <r>
      <rPr>
        <b val="true"/>
        <sz val="10"/>
        <rFont val="Noto Sans CJK SC"/>
        <family val="2"/>
      </rPr>
      <t xml:space="preserve">총 운용자본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</si>
  <si>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양 거래소 원화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코인 합계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잃어도 되는 금액으로 설정</t>
    </r>
    <r>
      <rPr>
        <sz val="9"/>
        <color rgb="FF595959"/>
        <rFont val="Arial"/>
        <family val="0"/>
        <charset val="1"/>
      </rPr>
      <t xml:space="preserve">.</t>
    </r>
  </si>
  <si>
    <t xml:space="preserve">업비트 매매수수료</t>
  </si>
  <si>
    <r>
      <rPr>
        <sz val="9"/>
        <color rgb="FF595959"/>
        <rFont val="Noto Sans CJK SC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0.05%. </t>
    </r>
    <r>
      <rPr>
        <sz val="9"/>
        <color rgb="FF595959"/>
        <rFont val="Noto Sans CJK SC"/>
        <family val="2"/>
      </rPr>
      <t xml:space="preserve">본인 계정 실제 수수료로 수정</t>
    </r>
    <r>
      <rPr>
        <sz val="9"/>
        <color rgb="FF595959"/>
        <rFont val="Arial"/>
        <family val="0"/>
        <charset val="1"/>
      </rPr>
      <t xml:space="preserve">.</t>
    </r>
  </si>
  <si>
    <t xml:space="preserve">빗썸 매매수수료</t>
  </si>
  <si>
    <r>
      <rPr>
        <sz val="9"/>
        <color rgb="FF595959"/>
        <rFont val="Noto Sans CJK SC"/>
        <family val="2"/>
      </rPr>
      <t xml:space="preserve">예시값 </t>
    </r>
    <r>
      <rPr>
        <sz val="9"/>
        <color rgb="FF595959"/>
        <rFont val="Arial"/>
        <family val="0"/>
        <charset val="1"/>
      </rPr>
      <t xml:space="preserve">0.04%. </t>
    </r>
    <r>
      <rPr>
        <sz val="9"/>
        <color rgb="FF595959"/>
        <rFont val="Noto Sans CJK SC"/>
        <family val="2"/>
      </rPr>
      <t xml:space="preserve">쿠폰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등급에 따라 다르므로 본인 계정 확인 후 수정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</si>
  <si>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회 최대 거래금액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</si>
  <si>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arb_monitor.py</t>
    </r>
    <r>
      <rPr>
        <sz val="9"/>
        <color rgb="FF595959"/>
        <rFont val="Noto Sans CJK SC"/>
        <family val="2"/>
      </rPr>
      <t xml:space="preserve">의 </t>
    </r>
    <r>
      <rPr>
        <sz val="9"/>
        <color rgb="FF595959"/>
        <rFont val="Arial"/>
        <family val="0"/>
        <charset val="1"/>
      </rPr>
      <t xml:space="preserve">NOTIONAL_KRW</t>
    </r>
    <r>
      <rPr>
        <sz val="9"/>
        <color rgb="FF595959"/>
        <rFont val="Noto Sans CJK SC"/>
        <family val="2"/>
      </rPr>
      <t xml:space="preserve">와 동일하게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</si>
  <si>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최소 진입 순괴리</t>
    </r>
    <r>
      <rPr>
        <b val="true"/>
        <sz val="10"/>
        <rFont val="Arial"/>
        <family val="0"/>
        <charset val="1"/>
      </rPr>
      <t xml:space="preserve">(bp)</t>
    </r>
  </si>
  <si>
    <r>
      <rPr>
        <sz val="9"/>
        <color rgb="FF595959"/>
        <rFont val="Noto Sans CJK SC"/>
        <family val="2"/>
      </rPr>
      <t xml:space="preserve">수수료 차감 후 이 값 이상일 때만 진입</t>
    </r>
    <r>
      <rPr>
        <sz val="9"/>
        <color rgb="FF595959"/>
        <rFont val="Arial"/>
        <family val="0"/>
        <charset val="1"/>
      </rPr>
      <t xml:space="preserve">. arb_monitor.py</t>
    </r>
    <r>
      <rPr>
        <sz val="9"/>
        <color rgb="FF595959"/>
        <rFont val="Noto Sans CJK SC"/>
        <family val="2"/>
      </rPr>
      <t xml:space="preserve">의 </t>
    </r>
    <r>
      <rPr>
        <sz val="9"/>
        <color rgb="FF595959"/>
        <rFont val="Arial"/>
        <family val="0"/>
        <charset val="1"/>
      </rPr>
      <t xml:space="preserve">THRESHOLD_BP</t>
    </r>
    <r>
      <rPr>
        <sz val="9"/>
        <color rgb="FF595959"/>
        <rFont val="Noto Sans CJK SC"/>
        <family val="2"/>
      </rPr>
      <t xml:space="preserve">와 동일하게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</si>
  <si>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일일 손실 한도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</si>
  <si>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총손익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재고평가 포함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이 이 이하로 내려가면 당일 거래 중단</t>
    </r>
    <r>
      <rPr>
        <sz val="9"/>
        <color rgb="FF595959"/>
        <rFont val="Arial"/>
        <family val="0"/>
        <charset val="1"/>
      </rPr>
      <t xml:space="preserve">.</t>
    </r>
  </si>
  <si>
    <t xml:space="preserve">업비트 코인 비중 하한</t>
  </si>
  <si>
    <r>
      <rPr>
        <sz val="9"/>
        <color rgb="FF595959"/>
        <rFont val="Noto Sans CJK SC"/>
        <family val="2"/>
      </rPr>
      <t xml:space="preserve">업비트 보유 비중이 이 밑으로 가면 리밸런싱</t>
    </r>
    <r>
      <rPr>
        <sz val="9"/>
        <color rgb="FF595959"/>
        <rFont val="Arial"/>
        <family val="0"/>
        <charset val="1"/>
      </rPr>
      <t xml:space="preserve">.</t>
    </r>
  </si>
  <si>
    <t xml:space="preserve">업비트 코인 비중 상한</t>
  </si>
  <si>
    <r>
      <rPr>
        <sz val="9"/>
        <color rgb="FF595959"/>
        <rFont val="Noto Sans CJK SC"/>
        <family val="2"/>
      </rPr>
      <t xml:space="preserve">업비트 보유 비중이 이 위로 가면 리밸런싱</t>
    </r>
    <r>
      <rPr>
        <sz val="9"/>
        <color rgb="FF595959"/>
        <rFont val="Arial"/>
        <family val="0"/>
        <charset val="1"/>
      </rPr>
      <t xml:space="preserve">.</t>
    </r>
  </si>
  <si>
    <t xml:space="preserve">규칙 위반 시 조치</t>
  </si>
  <si>
    <r>
      <rPr>
        <sz val="10"/>
        <color rgb="FF0000FF"/>
        <rFont val="Noto Sans CJK SC"/>
        <family val="2"/>
      </rPr>
      <t xml:space="preserve">당일 거래 중단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회고 작성</t>
    </r>
  </si>
  <si>
    <r>
      <rPr>
        <sz val="9"/>
        <color rgb="FF595959"/>
        <rFont val="Noto Sans CJK SC"/>
        <family val="2"/>
      </rPr>
      <t xml:space="preserve">본인이 정한 페널티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데스크의 한도 위반 보고와 같은 역할</t>
    </r>
    <r>
      <rPr>
        <sz val="9"/>
        <color rgb="FF595959"/>
        <rFont val="Arial"/>
        <family val="0"/>
        <charset val="1"/>
      </rPr>
      <t xml:space="preserve">.</t>
    </r>
  </si>
  <si>
    <t xml:space="preserve">매매일지</t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</si>
  <si>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건 </t>
    </r>
    <r>
      <rPr>
        <i val="true"/>
        <sz val="9"/>
        <color rgb="FF595959"/>
        <rFont val="Arial"/>
        <family val="0"/>
        <charset val="1"/>
      </rPr>
      <t xml:space="preserve">= 1</t>
    </r>
    <r>
      <rPr>
        <i val="true"/>
        <sz val="9"/>
        <color rgb="FF595959"/>
        <rFont val="Noto Sans CJK SC"/>
        <family val="2"/>
      </rPr>
      <t xml:space="preserve">행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연노랑 헤더 열만 입력</t>
    </r>
    <r>
      <rPr>
        <i val="true"/>
        <sz val="9"/>
        <color rgb="FF595959"/>
        <rFont val="Arial"/>
        <family val="0"/>
        <charset val="1"/>
      </rPr>
      <t xml:space="preserve">. 5</t>
    </r>
    <r>
      <rPr>
        <i val="true"/>
        <sz val="9"/>
        <color rgb="FF595959"/>
        <rFont val="Noto Sans CJK SC"/>
        <family val="2"/>
      </rPr>
      <t xml:space="preserve">행은 예시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덮어쓰기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</si>
  <si>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번호</t>
  </si>
  <si>
    <t xml:space="preserve">날짜</t>
  </si>
  <si>
    <t xml:space="preserve">시각</t>
  </si>
  <si>
    <t xml:space="preserve">코인</t>
  </si>
  <si>
    <t xml:space="preserve">매수
거래소</t>
  </si>
  <si>
    <t xml:space="preserve">매도
거래소</t>
  </si>
  <si>
    <r>
      <rPr>
        <b val="true"/>
        <sz val="10"/>
        <color rgb="FF000000"/>
        <rFont val="Noto Sans CJK SC"/>
        <family val="2"/>
      </rPr>
      <t xml:space="preserve">모니터
순괴리</t>
    </r>
    <r>
      <rPr>
        <b val="true"/>
        <sz val="10"/>
        <color rgb="FF000000"/>
        <rFont val="Arial"/>
        <family val="0"/>
        <charset val="1"/>
      </rPr>
      <t xml:space="preserve">(bp)
=</t>
    </r>
    <r>
      <rPr>
        <b val="true"/>
        <sz val="10"/>
        <color rgb="FF000000"/>
        <rFont val="Noto Sans CJK SC"/>
        <family val="2"/>
      </rPr>
      <t xml:space="preserve">기대엣지</t>
    </r>
  </si>
  <si>
    <t xml:space="preserve">수량</t>
  </si>
  <si>
    <r>
      <rPr>
        <b val="true"/>
        <sz val="10"/>
        <color rgb="FF000000"/>
        <rFont val="Noto Sans CJK SC"/>
        <family val="2"/>
      </rPr>
      <t xml:space="preserve">매수
체결가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</si>
  <si>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매도
체결가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</si>
  <si>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매수금액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</si>
  <si>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매도금액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</si>
  <si>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총괴리</t>
    </r>
    <r>
      <rPr>
        <b val="true"/>
        <sz val="10"/>
        <color rgb="FF000000"/>
        <rFont val="Arial"/>
        <family val="0"/>
        <charset val="1"/>
      </rPr>
      <t xml:space="preserve">(bp)</t>
    </r>
  </si>
  <si>
    <r>
      <rPr>
        <b val="true"/>
        <sz val="10"/>
        <color rgb="FF000000"/>
        <rFont val="Noto Sans CJK SC"/>
        <family val="2"/>
      </rPr>
      <t xml:space="preserve">수수료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</si>
  <si>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순손익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</si>
  <si>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실현
순괴리</t>
    </r>
    <r>
      <rPr>
        <b val="true"/>
        <sz val="10"/>
        <color rgb="FF000000"/>
        <rFont val="Arial"/>
        <family val="0"/>
        <charset val="1"/>
      </rPr>
      <t xml:space="preserve">(bp)</t>
    </r>
  </si>
  <si>
    <r>
      <rPr>
        <b val="true"/>
        <sz val="10"/>
        <color rgb="FF000000"/>
        <rFont val="Noto Sans CJK SC"/>
        <family val="2"/>
      </rPr>
      <t xml:space="preserve">실행
슬리피지</t>
    </r>
    <r>
      <rPr>
        <b val="true"/>
        <sz val="10"/>
        <color rgb="FF000000"/>
        <rFont val="Arial"/>
        <family val="0"/>
        <charset val="1"/>
      </rPr>
      <t xml:space="preserve">(bp)</t>
    </r>
  </si>
  <si>
    <t xml:space="preserve">규칙체크</t>
  </si>
  <si>
    <r>
      <rPr>
        <b val="true"/>
        <sz val="10"/>
        <color rgb="FF000000"/>
        <rFont val="Noto Sans CJK SC"/>
        <family val="2"/>
      </rPr>
      <t xml:space="preserve">진입근거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메모</t>
    </r>
  </si>
  <si>
    <t xml:space="preserve">XRP</t>
  </si>
  <si>
    <t xml:space="preserve">빗썸</t>
  </si>
  <si>
    <t xml:space="preserve">업비트</t>
  </si>
  <si>
    <r>
      <rPr>
        <i val="true"/>
        <sz val="10"/>
        <color rgb="FF0000FF"/>
        <rFont val="Arial"/>
        <family val="0"/>
        <charset val="1"/>
      </rPr>
      <t xml:space="preserve">(</t>
    </r>
    <r>
      <rPr>
        <i val="true"/>
        <sz val="10"/>
        <color rgb="FF0000FF"/>
        <rFont val="Noto Sans CJK SC"/>
        <family val="2"/>
      </rPr>
      <t xml:space="preserve">예시</t>
    </r>
    <r>
      <rPr>
        <i val="true"/>
        <sz val="10"/>
        <color rgb="FF0000FF"/>
        <rFont val="Arial"/>
        <family val="0"/>
        <charset val="1"/>
      </rPr>
      <t xml:space="preserve">) </t>
    </r>
    <r>
      <rPr>
        <i val="true"/>
        <sz val="10"/>
        <color rgb="FF0000FF"/>
        <rFont val="Noto Sans CJK SC"/>
        <family val="2"/>
      </rPr>
      <t xml:space="preserve">모니터 </t>
    </r>
    <r>
      <rPr>
        <i val="true"/>
        <sz val="10"/>
        <color rgb="FF0000FF"/>
        <rFont val="Arial"/>
        <family val="0"/>
        <charset val="1"/>
      </rPr>
      <t xml:space="preserve">24.8bp </t>
    </r>
    <r>
      <rPr>
        <i val="true"/>
        <sz val="10"/>
        <color rgb="FF0000FF"/>
        <rFont val="Noto Sans CJK SC"/>
        <family val="2"/>
      </rPr>
      <t xml:space="preserve">신호</t>
    </r>
    <r>
      <rPr>
        <i val="true"/>
        <sz val="10"/>
        <color rgb="FF0000FF"/>
        <rFont val="Arial"/>
        <family val="0"/>
        <charset val="1"/>
      </rPr>
      <t xml:space="preserve">. </t>
    </r>
    <r>
      <rPr>
        <i val="true"/>
        <sz val="10"/>
        <color rgb="FF0000FF"/>
        <rFont val="Noto Sans CJK SC"/>
        <family val="2"/>
      </rPr>
      <t xml:space="preserve">업비트 매도 시 호가가 한 틱 밀려 실현 엣지 감소</t>
    </r>
    <r>
      <rPr>
        <i val="true"/>
        <sz val="10"/>
        <color rgb="FF0000FF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</si>
  <si>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재고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인벤토리</t>
    </r>
    <r>
      <rPr>
        <b val="true"/>
        <sz val="14"/>
        <rFont val="Arial"/>
        <family val="0"/>
        <charset val="1"/>
      </rPr>
      <t xml:space="preserve">) </t>
    </r>
    <r>
      <rPr>
        <b val="true"/>
        <sz val="14"/>
        <rFont val="Noto Sans CJK SC"/>
        <family val="2"/>
      </rPr>
      <t xml:space="preserve">현황</t>
    </r>
  </si>
  <si>
    <r>
      <rPr>
        <i val="true"/>
        <sz val="9"/>
        <color rgb="FF595959"/>
        <rFont val="Noto Sans CJK SC"/>
        <family val="2"/>
      </rPr>
      <t xml:space="preserve">매일 마감 기준 코인별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행</t>
    </r>
    <r>
      <rPr>
        <i val="true"/>
        <sz val="9"/>
        <color rgb="FF595959"/>
        <rFont val="Arial"/>
        <family val="0"/>
        <charset val="1"/>
      </rPr>
      <t xml:space="preserve">. 5</t>
    </r>
    <r>
      <rPr>
        <i val="true"/>
        <sz val="9"/>
        <color rgb="FF595959"/>
        <rFont val="Noto Sans CJK SC"/>
        <family val="2"/>
      </rPr>
      <t xml:space="preserve">행은 예시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</si>
  <si>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업비트
보유수량</t>
  </si>
  <si>
    <t xml:space="preserve">빗썸
보유수량</t>
  </si>
  <si>
    <t xml:space="preserve">총수량</t>
  </si>
  <si>
    <t xml:space="preserve">업비트
비중</t>
  </si>
  <si>
    <r>
      <rPr>
        <b val="true"/>
        <sz val="10"/>
        <color rgb="FF000000"/>
        <rFont val="Noto Sans CJK SC"/>
        <family val="2"/>
      </rPr>
      <t xml:space="preserve">종가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</si>
  <si>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전일종가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</si>
  <si>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재고
평가손익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</si>
  <si>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리밸런싱 판단</t>
  </si>
  <si>
    <t xml:space="preserve">일일 손익 분해</t>
  </si>
  <si>
    <r>
      <rPr>
        <i val="true"/>
        <sz val="9"/>
        <color rgb="FF595959"/>
        <rFont val="Noto Sans CJK SC"/>
        <family val="2"/>
      </rPr>
      <t xml:space="preserve">날짜와 리밸런싱비용만 입력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나머지는 매매일지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재고 시트에서 자동 집계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</si>
  <si>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거래
건수</t>
  </si>
  <si>
    <r>
      <rPr>
        <b val="true"/>
        <sz val="10"/>
        <color rgb="FF000000"/>
        <rFont val="Noto Sans CJK SC"/>
        <family val="2"/>
      </rPr>
      <t xml:space="preserve">스프레드
수익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</si>
  <si>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리밸런싱
비용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</si>
  <si>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차익손익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
=</t>
    </r>
    <r>
      <rPr>
        <b val="true"/>
        <sz val="10"/>
        <color rgb="FF000000"/>
        <rFont val="Noto Sans CJK SC"/>
        <family val="2"/>
      </rPr>
      <t xml:space="preserve">스프레드−비용</t>
    </r>
  </si>
  <si>
    <r>
      <rPr>
        <b val="true"/>
        <sz val="10"/>
        <color rgb="FF000000"/>
        <rFont val="Noto Sans CJK SC"/>
        <family val="2"/>
      </rPr>
      <t xml:space="preserve">총손익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</si>
  <si>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누적
차익손익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</si>
  <si>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누적
총손익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</si>
  <si>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손실한도
체크</t>
  </si>
  <si>
    <t xml:space="preserve">규칙위반
건수</t>
  </si>
  <si>
    <t xml:space="preserve">주간 회고</t>
  </si>
  <si>
    <r>
      <rPr>
        <i val="true"/>
        <sz val="9"/>
        <color rgb="FF595959"/>
        <rFont val="Noto Sans CJK SC"/>
        <family val="2"/>
      </rPr>
      <t xml:space="preserve">주차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기간 입력 시 지표 자동 집계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서술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칸이 면접 답변의 원재료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</si>
  <si>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주차</t>
  </si>
  <si>
    <t xml:space="preserve">시작일</t>
  </si>
  <si>
    <t xml:space="preserve">종료일</t>
  </si>
  <si>
    <r>
      <rPr>
        <b val="true"/>
        <sz val="10"/>
        <color rgb="FF000000"/>
        <rFont val="Noto Sans CJK SC"/>
        <family val="2"/>
      </rPr>
      <t xml:space="preserve">차익손익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</si>
  <si>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평균 실현
순괴리</t>
    </r>
    <r>
      <rPr>
        <b val="true"/>
        <sz val="10"/>
        <color rgb="FF000000"/>
        <rFont val="Arial"/>
        <family val="0"/>
        <charset val="1"/>
      </rPr>
      <t xml:space="preserve">(bp)</t>
    </r>
  </si>
  <si>
    <r>
      <rPr>
        <b val="true"/>
        <sz val="10"/>
        <color rgb="FF000000"/>
        <rFont val="Noto Sans CJK SC"/>
        <family val="2"/>
      </rPr>
      <t xml:space="preserve">평균 실행
슬리피지</t>
    </r>
    <r>
      <rPr>
        <b val="true"/>
        <sz val="10"/>
        <color rgb="FF000000"/>
        <rFont val="Arial"/>
        <family val="0"/>
        <charset val="1"/>
      </rPr>
      <t xml:space="preserve">(bp)</t>
    </r>
  </si>
  <si>
    <t xml:space="preserve">잘된 점</t>
  </si>
  <si>
    <t xml:space="preserve">문제점</t>
  </si>
  <si>
    <t xml:space="preserve">다음 주 규칙 수정</t>
  </si>
  <si>
    <r>
      <rPr>
        <i val="true"/>
        <sz val="10"/>
        <color rgb="FF0000FF"/>
        <rFont val="Arial"/>
        <family val="0"/>
        <charset val="1"/>
      </rPr>
      <t xml:space="preserve">(</t>
    </r>
    <r>
      <rPr>
        <i val="true"/>
        <sz val="10"/>
        <color rgb="FF0000FF"/>
        <rFont val="Noto Sans CJK SC"/>
        <family val="2"/>
      </rPr>
      <t xml:space="preserve">예시</t>
    </r>
    <r>
      <rPr>
        <i val="true"/>
        <sz val="10"/>
        <color rgb="FF0000FF"/>
        <rFont val="Arial"/>
        <family val="0"/>
        <charset val="1"/>
      </rPr>
      <t xml:space="preserve">) </t>
    </r>
    <r>
      <rPr>
        <i val="true"/>
        <sz val="10"/>
        <color rgb="FF0000FF"/>
        <rFont val="Noto Sans CJK SC"/>
        <family val="2"/>
      </rPr>
      <t xml:space="preserve">신호 기준을 지키며 진입</t>
    </r>
    <r>
      <rPr>
        <i val="true"/>
        <sz val="10"/>
        <color rgb="FF0000FF"/>
        <rFont val="Arial"/>
        <family val="0"/>
        <charset val="1"/>
      </rPr>
      <t xml:space="preserve">. </t>
    </r>
    <r>
      <rPr>
        <i val="true"/>
        <sz val="10"/>
        <color rgb="FF0000FF"/>
        <rFont val="Noto Sans CJK SC"/>
        <family val="2"/>
      </rPr>
      <t xml:space="preserve">시간대별 괴리 패턴 파악</t>
    </r>
    <r>
      <rPr>
        <i val="true"/>
        <sz val="10"/>
        <color rgb="FF0000FF"/>
        <rFont val="Arial"/>
        <family val="0"/>
        <charset val="1"/>
      </rPr>
      <t xml:space="preserve">.</t>
    </r>
  </si>
  <si>
    <r>
      <rPr>
        <i val="true"/>
        <sz val="10"/>
        <color rgb="FF0000FF"/>
        <rFont val="Arial"/>
        <family val="0"/>
        <charset val="1"/>
      </rPr>
      <t xml:space="preserve">(</t>
    </r>
    <r>
      <rPr>
        <i val="true"/>
        <sz val="10"/>
        <color rgb="FF0000FF"/>
        <rFont val="Noto Sans CJK SC"/>
        <family val="2"/>
      </rPr>
      <t xml:space="preserve">예시</t>
    </r>
    <r>
      <rPr>
        <i val="true"/>
        <sz val="10"/>
        <color rgb="FF0000FF"/>
        <rFont val="Arial"/>
        <family val="0"/>
        <charset val="1"/>
      </rPr>
      <t xml:space="preserve">) </t>
    </r>
    <r>
      <rPr>
        <i val="true"/>
        <sz val="10"/>
        <color rgb="FF0000FF"/>
        <rFont val="Noto Sans CJK SC"/>
        <family val="2"/>
      </rPr>
      <t xml:space="preserve">재고평가손익이 차익손익보다 커서 결과가 코인 방향에 좌우됨</t>
    </r>
    <r>
      <rPr>
        <i val="true"/>
        <sz val="10"/>
        <color rgb="FF0000FF"/>
        <rFont val="Arial"/>
        <family val="0"/>
        <charset val="1"/>
      </rPr>
      <t xml:space="preserve">.</t>
    </r>
  </si>
  <si>
    <r>
      <rPr>
        <i val="true"/>
        <sz val="10"/>
        <color rgb="FF0000FF"/>
        <rFont val="Arial"/>
        <family val="0"/>
        <charset val="1"/>
      </rPr>
      <t xml:space="preserve">(</t>
    </r>
    <r>
      <rPr>
        <i val="true"/>
        <sz val="10"/>
        <color rgb="FF0000FF"/>
        <rFont val="Noto Sans CJK SC"/>
        <family val="2"/>
      </rPr>
      <t xml:space="preserve">예시</t>
    </r>
    <r>
      <rPr>
        <i val="true"/>
        <sz val="10"/>
        <color rgb="FF0000FF"/>
        <rFont val="Arial"/>
        <family val="0"/>
        <charset val="1"/>
      </rPr>
      <t xml:space="preserve">) </t>
    </r>
    <r>
      <rPr>
        <i val="true"/>
        <sz val="10"/>
        <color rgb="FF0000FF"/>
        <rFont val="Noto Sans CJK SC"/>
        <family val="2"/>
      </rPr>
      <t xml:space="preserve">재고 총량 축소 검토</t>
    </r>
    <r>
      <rPr>
        <i val="true"/>
        <sz val="10"/>
        <color rgb="FF0000FF"/>
        <rFont val="Arial"/>
        <family val="0"/>
        <charset val="1"/>
      </rPr>
      <t xml:space="preserve">, </t>
    </r>
    <r>
      <rPr>
        <i val="true"/>
        <sz val="10"/>
        <color rgb="FF0000FF"/>
        <rFont val="Noto Sans CJK SC"/>
        <family val="2"/>
      </rPr>
      <t xml:space="preserve">리밸런싱 밴드 유지</t>
    </r>
    <r>
      <rPr>
        <i val="true"/>
        <sz val="10"/>
        <color rgb="FF0000FF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</si>
</sst>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0%"/>
    <numFmt numFmtId="167" formatCode="0.0"/>
    <numFmt numFmtId="168" formatCode="0%"/>
    <numFmt numFmtId="169" formatCode="yyyy\-mm\-dd"/>
    <numFmt numFmtId="170" formatCode="hh:mm:ss"/>
    <numFmt numFmtId="171" formatCode="0.0;\(0.0\);\-"/>
    <numFmt numFmtId="172" formatCode="#,##0.0000"/>
    <numFmt numFmtId="173" formatCode="#,##0.##"/>
    <numFmt numFmtId="174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i val="true"/>
      <sz val="10"/>
      <color rgb="FF0000FF"/>
      <name val="Noto Sans CJK SC"/>
      <family val="2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/>
      <c r="B9" s="5" t="s">
        <v>12</v>
      </c>
    </row>
    <row r="10" customFormat="false" ht="15" hidden="false" customHeight="false" outlineLevel="0" collapsed="false">
      <c r="A10" s="3"/>
      <c r="B10" s="5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/>
      <c r="B12" s="4" t="s">
        <v>16</v>
      </c>
    </row>
    <row r="13" customFormat="false" ht="15" hidden="false" customHeight="false" outlineLevel="0" collapsed="false">
      <c r="A13" s="3"/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1.6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3" customFormat="false" ht="31.5" hidden="false" customHeight="true" outlineLevel="0" collapsed="false">
      <c r="A3" s="6" t="s">
        <v>26</v>
      </c>
      <c r="B3" s="7" t="s">
        <v>27</v>
      </c>
      <c r="C3" s="6" t="s">
        <v>28</v>
      </c>
    </row>
    <row r="4" customFormat="false" ht="15" hidden="false" customHeight="false" outlineLevel="0" collapsed="false">
      <c r="A4" s="8" t="s">
        <v>29</v>
      </c>
      <c r="B4" s="9" t="n">
        <v>400000</v>
      </c>
      <c r="C4" s="10" t="s">
        <v>30</v>
      </c>
    </row>
    <row r="5" customFormat="false" ht="15" hidden="false" customHeight="false" outlineLevel="0" collapsed="false">
      <c r="A5" s="8" t="s">
        <v>31</v>
      </c>
      <c r="B5" s="11" t="n">
        <v>0.0005</v>
      </c>
      <c r="C5" s="10" t="s">
        <v>32</v>
      </c>
    </row>
    <row r="6" customFormat="false" ht="15" hidden="false" customHeight="false" outlineLevel="0" collapsed="false">
      <c r="A6" s="8" t="s">
        <v>33</v>
      </c>
      <c r="B6" s="11" t="n">
        <v>0.0004</v>
      </c>
      <c r="C6" s="10" t="s">
        <v>34</v>
      </c>
    </row>
    <row r="7" customFormat="false" ht="15" hidden="false" customHeight="false" outlineLevel="0" collapsed="false">
      <c r="A7" s="12" t="s">
        <v>35</v>
      </c>
      <c r="B7" s="9" t="n">
        <v>100000</v>
      </c>
      <c r="C7" s="13" t="s">
        <v>36</v>
      </c>
    </row>
    <row r="8" customFormat="false" ht="15" hidden="false" customHeight="false" outlineLevel="0" collapsed="false">
      <c r="A8" s="8" t="s">
        <v>37</v>
      </c>
      <c r="B8" s="14" t="n">
        <v>10</v>
      </c>
      <c r="C8" s="10" t="s">
        <v>38</v>
      </c>
    </row>
    <row r="9" customFormat="false" ht="15" hidden="false" customHeight="false" outlineLevel="0" collapsed="false">
      <c r="A9" s="8" t="s">
        <v>39</v>
      </c>
      <c r="B9" s="9" t="n">
        <v>5000</v>
      </c>
      <c r="C9" s="10" t="s">
        <v>40</v>
      </c>
    </row>
    <row r="10" customFormat="false" ht="15" hidden="false" customHeight="false" outlineLevel="0" collapsed="false">
      <c r="A10" s="8" t="s">
        <v>41</v>
      </c>
      <c r="B10" s="15" t="n">
        <v>0.3</v>
      </c>
      <c r="C10" s="10" t="s">
        <v>42</v>
      </c>
    </row>
    <row r="11" customFormat="false" ht="15" hidden="false" customHeight="false" outlineLevel="0" collapsed="false">
      <c r="A11" s="8" t="s">
        <v>43</v>
      </c>
      <c r="B11" s="15" t="n">
        <v>0.7</v>
      </c>
      <c r="C11" s="10" t="s">
        <v>44</v>
      </c>
    </row>
    <row r="12" customFormat="false" ht="15" hidden="false" customHeight="false" outlineLevel="0" collapsed="false">
      <c r="A12" s="8" t="s">
        <v>45</v>
      </c>
      <c r="B12" s="16" t="s">
        <v>46</v>
      </c>
      <c r="C12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2" min="9" style="0" width="13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40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7" t="s">
        <v>49</v>
      </c>
    </row>
    <row r="4" customFormat="false" ht="31.5" hidden="false" customHeight="true" outlineLevel="0" collapsed="false">
      <c r="A4" s="7" t="s">
        <v>50</v>
      </c>
      <c r="B4" s="7" t="s">
        <v>51</v>
      </c>
      <c r="C4" s="7" t="s">
        <v>52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  <c r="I4" s="7" t="s">
        <v>58</v>
      </c>
      <c r="J4" s="7" t="s">
        <v>59</v>
      </c>
      <c r="K4" s="6" t="s">
        <v>60</v>
      </c>
      <c r="L4" s="6" t="s">
        <v>61</v>
      </c>
      <c r="M4" s="6" t="s">
        <v>62</v>
      </c>
      <c r="N4" s="6" t="s">
        <v>63</v>
      </c>
      <c r="O4" s="6" t="s">
        <v>64</v>
      </c>
      <c r="P4" s="6" t="s">
        <v>65</v>
      </c>
      <c r="Q4" s="6" t="s">
        <v>66</v>
      </c>
      <c r="R4" s="6" t="s">
        <v>67</v>
      </c>
      <c r="S4" s="7" t="s">
        <v>68</v>
      </c>
    </row>
    <row r="5" customFormat="false" ht="15" hidden="false" customHeight="false" outlineLevel="0" collapsed="false">
      <c r="A5" s="18" t="n">
        <v>1</v>
      </c>
      <c r="B5" s="19" t="n">
        <v>46309</v>
      </c>
      <c r="C5" s="20" t="n">
        <v>0.605671296296296</v>
      </c>
      <c r="D5" s="18" t="s">
        <v>69</v>
      </c>
      <c r="E5" s="21" t="s">
        <v>70</v>
      </c>
      <c r="F5" s="21" t="s">
        <v>71</v>
      </c>
      <c r="G5" s="22" t="n">
        <v>24.8</v>
      </c>
      <c r="H5" s="23" t="n">
        <v>29.8</v>
      </c>
      <c r="I5" s="24" t="n">
        <v>3350</v>
      </c>
      <c r="J5" s="24" t="n">
        <v>3359</v>
      </c>
      <c r="K5" s="25" t="n">
        <f aca="false">IF(H5="","",H5*I5)</f>
        <v>99830</v>
      </c>
      <c r="L5" s="25" t="n">
        <f aca="false">IF(H5="","",H5*J5)</f>
        <v>100098.2</v>
      </c>
      <c r="M5" s="26" t="n">
        <f aca="false">IF(H5="","",(L5-K5)/K5*10000)</f>
        <v>26.8656716417908</v>
      </c>
      <c r="N5" s="25" t="n">
        <f aca="false">IF(H5="","",K5*IF(E5="업비트",운용규칙!$B$5,운용규칙!$B$6)+L5*IF(F5="업비트",운용규칙!$B$5,운용규칙!$B$6))</f>
        <v>89.9811</v>
      </c>
      <c r="O5" s="25" t="n">
        <f aca="false">IF(H5="","",L5-K5-N5)</f>
        <v>178.218899999997</v>
      </c>
      <c r="P5" s="26" t="n">
        <f aca="false">IF(H5="","",O5/K5*10000)</f>
        <v>17.8522388059699</v>
      </c>
      <c r="Q5" s="26" t="n">
        <f aca="false">IF(OR(H5="",G5=""),"",G5-P5)</f>
        <v>6.94776119403014</v>
      </c>
      <c r="R5" s="27" t="str">
        <f aca="false">IF(H5="","",IF(OR(G5&lt;운용규칙!$B$8,K5&gt;운용규칙!$B$7),"위반","OK"))</f>
        <v>OK</v>
      </c>
      <c r="S5" s="18" t="s">
        <v>72</v>
      </c>
    </row>
    <row r="6" customFormat="false" ht="15" hidden="false" customHeight="false" outlineLevel="0" collapsed="false">
      <c r="A6" s="28"/>
      <c r="B6" s="29"/>
      <c r="C6" s="30"/>
      <c r="D6" s="28"/>
      <c r="E6" s="28"/>
      <c r="F6" s="28"/>
      <c r="G6" s="31"/>
      <c r="H6" s="32"/>
      <c r="I6" s="33"/>
      <c r="J6" s="33"/>
      <c r="K6" s="34" t="str">
        <f aca="false">IF(H6="","",H6*I6)</f>
        <v/>
      </c>
      <c r="L6" s="34" t="str">
        <f aca="false">IF(H6="","",H6*J6)</f>
        <v/>
      </c>
      <c r="M6" s="35" t="str">
        <f aca="false">IF(H6="","",(L6-K6)/K6*10000)</f>
        <v/>
      </c>
      <c r="N6" s="34" t="str">
        <f aca="false">IF(H6="","",K6*IF(E6="업비트",운용규칙!$B$5,운용규칙!$B$6)+L6*IF(F6="업비트",운용규칙!$B$5,운용규칙!$B$6))</f>
        <v/>
      </c>
      <c r="O6" s="34" t="str">
        <f aca="false">IF(H6="","",L6-K6-N6)</f>
        <v/>
      </c>
      <c r="P6" s="35" t="str">
        <f aca="false">IF(H6="","",O6/K6*10000)</f>
        <v/>
      </c>
      <c r="Q6" s="35" t="str">
        <f aca="false">IF(OR(H6="",G6=""),"",G6-P6)</f>
        <v/>
      </c>
      <c r="R6" s="36" t="str">
        <f aca="false">IF(H6="","",IF(OR(G6&lt;운용규칙!$B$8,K6&gt;운용규칙!$B$7),"위반","OK"))</f>
        <v/>
      </c>
      <c r="S6" s="28"/>
    </row>
    <row r="7" customFormat="false" ht="15" hidden="false" customHeight="false" outlineLevel="0" collapsed="false">
      <c r="A7" s="28"/>
      <c r="B7" s="29"/>
      <c r="C7" s="30"/>
      <c r="D7" s="28"/>
      <c r="E7" s="28"/>
      <c r="F7" s="28"/>
      <c r="G7" s="31"/>
      <c r="H7" s="32"/>
      <c r="I7" s="33"/>
      <c r="J7" s="33"/>
      <c r="K7" s="34" t="str">
        <f aca="false">IF(H7="","",H7*I7)</f>
        <v/>
      </c>
      <c r="L7" s="34" t="str">
        <f aca="false">IF(H7="","",H7*J7)</f>
        <v/>
      </c>
      <c r="M7" s="35" t="str">
        <f aca="false">IF(H7="","",(L7-K7)/K7*10000)</f>
        <v/>
      </c>
      <c r="N7" s="34" t="str">
        <f aca="false">IF(H7="","",K7*IF(E7="업비트",운용규칙!$B$5,운용규칙!$B$6)+L7*IF(F7="업비트",운용규칙!$B$5,운용규칙!$B$6))</f>
        <v/>
      </c>
      <c r="O7" s="34" t="str">
        <f aca="false">IF(H7="","",L7-K7-N7)</f>
        <v/>
      </c>
      <c r="P7" s="35" t="str">
        <f aca="false">IF(H7="","",O7/K7*10000)</f>
        <v/>
      </c>
      <c r="Q7" s="35" t="str">
        <f aca="false">IF(OR(H7="",G7=""),"",G7-P7)</f>
        <v/>
      </c>
      <c r="R7" s="36" t="str">
        <f aca="false">IF(H7="","",IF(OR(G7&lt;운용규칙!$B$8,K7&gt;운용규칙!$B$7),"위반","OK"))</f>
        <v/>
      </c>
      <c r="S7" s="28"/>
    </row>
    <row r="8" customFormat="false" ht="15" hidden="false" customHeight="false" outlineLevel="0" collapsed="false">
      <c r="A8" s="28"/>
      <c r="B8" s="29"/>
      <c r="C8" s="30"/>
      <c r="D8" s="28"/>
      <c r="E8" s="28"/>
      <c r="F8" s="28"/>
      <c r="G8" s="31"/>
      <c r="H8" s="32"/>
      <c r="I8" s="33"/>
      <c r="J8" s="33"/>
      <c r="K8" s="34" t="str">
        <f aca="false">IF(H8="","",H8*I8)</f>
        <v/>
      </c>
      <c r="L8" s="34" t="str">
        <f aca="false">IF(H8="","",H8*J8)</f>
        <v/>
      </c>
      <c r="M8" s="35" t="str">
        <f aca="false">IF(H8="","",(L8-K8)/K8*10000)</f>
        <v/>
      </c>
      <c r="N8" s="34" t="str">
        <f aca="false">IF(H8="","",K8*IF(E8="업비트",운용규칙!$B$5,운용규칙!$B$6)+L8*IF(F8="업비트",운용규칙!$B$5,운용규칙!$B$6))</f>
        <v/>
      </c>
      <c r="O8" s="34" t="str">
        <f aca="false">IF(H8="","",L8-K8-N8)</f>
        <v/>
      </c>
      <c r="P8" s="35" t="str">
        <f aca="false">IF(H8="","",O8/K8*10000)</f>
        <v/>
      </c>
      <c r="Q8" s="35" t="str">
        <f aca="false">IF(OR(H8="",G8=""),"",G8-P8)</f>
        <v/>
      </c>
      <c r="R8" s="36" t="str">
        <f aca="false">IF(H8="","",IF(OR(G8&lt;운용규칙!$B$8,K8&gt;운용규칙!$B$7),"위반","OK"))</f>
        <v/>
      </c>
      <c r="S8" s="28"/>
    </row>
    <row r="9" customFormat="false" ht="15" hidden="false" customHeight="false" outlineLevel="0" collapsed="false">
      <c r="A9" s="28"/>
      <c r="B9" s="29"/>
      <c r="C9" s="30"/>
      <c r="D9" s="28"/>
      <c r="E9" s="28"/>
      <c r="F9" s="28"/>
      <c r="G9" s="31"/>
      <c r="H9" s="32"/>
      <c r="I9" s="33"/>
      <c r="J9" s="33"/>
      <c r="K9" s="34" t="str">
        <f aca="false">IF(H9="","",H9*I9)</f>
        <v/>
      </c>
      <c r="L9" s="34" t="str">
        <f aca="false">IF(H9="","",H9*J9)</f>
        <v/>
      </c>
      <c r="M9" s="35" t="str">
        <f aca="false">IF(H9="","",(L9-K9)/K9*10000)</f>
        <v/>
      </c>
      <c r="N9" s="34" t="str">
        <f aca="false">IF(H9="","",K9*IF(E9="업비트",운용규칙!$B$5,운용규칙!$B$6)+L9*IF(F9="업비트",운용규칙!$B$5,운용규칙!$B$6))</f>
        <v/>
      </c>
      <c r="O9" s="34" t="str">
        <f aca="false">IF(H9="","",L9-K9-N9)</f>
        <v/>
      </c>
      <c r="P9" s="35" t="str">
        <f aca="false">IF(H9="","",O9/K9*10000)</f>
        <v/>
      </c>
      <c r="Q9" s="35" t="str">
        <f aca="false">IF(OR(H9="",G9=""),"",G9-P9)</f>
        <v/>
      </c>
      <c r="R9" s="36" t="str">
        <f aca="false">IF(H9="","",IF(OR(G9&lt;운용규칙!$B$8,K9&gt;운용규칙!$B$7),"위반","OK"))</f>
        <v/>
      </c>
      <c r="S9" s="28"/>
    </row>
    <row r="10" customFormat="false" ht="15" hidden="false" customHeight="false" outlineLevel="0" collapsed="false">
      <c r="A10" s="28"/>
      <c r="B10" s="29"/>
      <c r="C10" s="30"/>
      <c r="D10" s="28"/>
      <c r="E10" s="28"/>
      <c r="F10" s="28"/>
      <c r="G10" s="31"/>
      <c r="H10" s="32"/>
      <c r="I10" s="33"/>
      <c r="J10" s="33"/>
      <c r="K10" s="34" t="str">
        <f aca="false">IF(H10="","",H10*I10)</f>
        <v/>
      </c>
      <c r="L10" s="34" t="str">
        <f aca="false">IF(H10="","",H10*J10)</f>
        <v/>
      </c>
      <c r="M10" s="35" t="str">
        <f aca="false">IF(H10="","",(L10-K10)/K10*10000)</f>
        <v/>
      </c>
      <c r="N10" s="34" t="str">
        <f aca="false">IF(H10="","",K10*IF(E10="업비트",운용규칙!$B$5,운용규칙!$B$6)+L10*IF(F10="업비트",운용규칙!$B$5,운용규칙!$B$6))</f>
        <v/>
      </c>
      <c r="O10" s="34" t="str">
        <f aca="false">IF(H10="","",L10-K10-N10)</f>
        <v/>
      </c>
      <c r="P10" s="35" t="str">
        <f aca="false">IF(H10="","",O10/K10*10000)</f>
        <v/>
      </c>
      <c r="Q10" s="35" t="str">
        <f aca="false">IF(OR(H10="",G10=""),"",G10-P10)</f>
        <v/>
      </c>
      <c r="R10" s="36" t="str">
        <f aca="false">IF(H10="","",IF(OR(G10&lt;운용규칙!$B$8,K10&gt;운용규칙!$B$7),"위반","OK"))</f>
        <v/>
      </c>
      <c r="S10" s="28"/>
    </row>
    <row r="11" customFormat="false" ht="15" hidden="false" customHeight="false" outlineLevel="0" collapsed="false">
      <c r="A11" s="28"/>
      <c r="B11" s="29"/>
      <c r="C11" s="30"/>
      <c r="D11" s="28"/>
      <c r="E11" s="28"/>
      <c r="F11" s="28"/>
      <c r="G11" s="31"/>
      <c r="H11" s="32"/>
      <c r="I11" s="33"/>
      <c r="J11" s="33"/>
      <c r="K11" s="34" t="str">
        <f aca="false">IF(H11="","",H11*I11)</f>
        <v/>
      </c>
      <c r="L11" s="34" t="str">
        <f aca="false">IF(H11="","",H11*J11)</f>
        <v/>
      </c>
      <c r="M11" s="35" t="str">
        <f aca="false">IF(H11="","",(L11-K11)/K11*10000)</f>
        <v/>
      </c>
      <c r="N11" s="34" t="str">
        <f aca="false">IF(H11="","",K11*IF(E11="업비트",운용규칙!$B$5,운용규칙!$B$6)+L11*IF(F11="업비트",운용규칙!$B$5,운용규칙!$B$6))</f>
        <v/>
      </c>
      <c r="O11" s="34" t="str">
        <f aca="false">IF(H11="","",L11-K11-N11)</f>
        <v/>
      </c>
      <c r="P11" s="35" t="str">
        <f aca="false">IF(H11="","",O11/K11*10000)</f>
        <v/>
      </c>
      <c r="Q11" s="35" t="str">
        <f aca="false">IF(OR(H11="",G11=""),"",G11-P11)</f>
        <v/>
      </c>
      <c r="R11" s="36" t="str">
        <f aca="false">IF(H11="","",IF(OR(G11&lt;운용규칙!$B$8,K11&gt;운용규칙!$B$7),"위반","OK"))</f>
        <v/>
      </c>
      <c r="S11" s="28"/>
    </row>
    <row r="12" customFormat="false" ht="15" hidden="false" customHeight="false" outlineLevel="0" collapsed="false">
      <c r="A12" s="28"/>
      <c r="B12" s="29"/>
      <c r="C12" s="30"/>
      <c r="D12" s="28"/>
      <c r="E12" s="28"/>
      <c r="F12" s="28"/>
      <c r="G12" s="31"/>
      <c r="H12" s="32"/>
      <c r="I12" s="33"/>
      <c r="J12" s="33"/>
      <c r="K12" s="34" t="str">
        <f aca="false">IF(H12="","",H12*I12)</f>
        <v/>
      </c>
      <c r="L12" s="34" t="str">
        <f aca="false">IF(H12="","",H12*J12)</f>
        <v/>
      </c>
      <c r="M12" s="35" t="str">
        <f aca="false">IF(H12="","",(L12-K12)/K12*10000)</f>
        <v/>
      </c>
      <c r="N12" s="34" t="str">
        <f aca="false">IF(H12="","",K12*IF(E12="업비트",운용규칙!$B$5,운용규칙!$B$6)+L12*IF(F12="업비트",운용규칙!$B$5,운용규칙!$B$6))</f>
        <v/>
      </c>
      <c r="O12" s="34" t="str">
        <f aca="false">IF(H12="","",L12-K12-N12)</f>
        <v/>
      </c>
      <c r="P12" s="35" t="str">
        <f aca="false">IF(H12="","",O12/K12*10000)</f>
        <v/>
      </c>
      <c r="Q12" s="35" t="str">
        <f aca="false">IF(OR(H12="",G12=""),"",G12-P12)</f>
        <v/>
      </c>
      <c r="R12" s="36" t="str">
        <f aca="false">IF(H12="","",IF(OR(G12&lt;운용규칙!$B$8,K12&gt;운용규칙!$B$7),"위반","OK"))</f>
        <v/>
      </c>
      <c r="S12" s="28"/>
    </row>
    <row r="13" customFormat="false" ht="15" hidden="false" customHeight="false" outlineLevel="0" collapsed="false">
      <c r="A13" s="28"/>
      <c r="B13" s="29"/>
      <c r="C13" s="30"/>
      <c r="D13" s="28"/>
      <c r="E13" s="28"/>
      <c r="F13" s="28"/>
      <c r="G13" s="31"/>
      <c r="H13" s="32"/>
      <c r="I13" s="33"/>
      <c r="J13" s="33"/>
      <c r="K13" s="34" t="str">
        <f aca="false">IF(H13="","",H13*I13)</f>
        <v/>
      </c>
      <c r="L13" s="34" t="str">
        <f aca="false">IF(H13="","",H13*J13)</f>
        <v/>
      </c>
      <c r="M13" s="35" t="str">
        <f aca="false">IF(H13="","",(L13-K13)/K13*10000)</f>
        <v/>
      </c>
      <c r="N13" s="34" t="str">
        <f aca="false">IF(H13="","",K13*IF(E13="업비트",운용규칙!$B$5,운용규칙!$B$6)+L13*IF(F13="업비트",운용규칙!$B$5,운용규칙!$B$6))</f>
        <v/>
      </c>
      <c r="O13" s="34" t="str">
        <f aca="false">IF(H13="","",L13-K13-N13)</f>
        <v/>
      </c>
      <c r="P13" s="35" t="str">
        <f aca="false">IF(H13="","",O13/K13*10000)</f>
        <v/>
      </c>
      <c r="Q13" s="35" t="str">
        <f aca="false">IF(OR(H13="",G13=""),"",G13-P13)</f>
        <v/>
      </c>
      <c r="R13" s="36" t="str">
        <f aca="false">IF(H13="","",IF(OR(G13&lt;운용규칙!$B$8,K13&gt;운용규칙!$B$7),"위반","OK"))</f>
        <v/>
      </c>
      <c r="S13" s="28"/>
    </row>
    <row r="14" customFormat="false" ht="15" hidden="false" customHeight="false" outlineLevel="0" collapsed="false">
      <c r="A14" s="28"/>
      <c r="B14" s="29"/>
      <c r="C14" s="30"/>
      <c r="D14" s="28"/>
      <c r="E14" s="28"/>
      <c r="F14" s="28"/>
      <c r="G14" s="31"/>
      <c r="H14" s="32"/>
      <c r="I14" s="33"/>
      <c r="J14" s="33"/>
      <c r="K14" s="34" t="str">
        <f aca="false">IF(H14="","",H14*I14)</f>
        <v/>
      </c>
      <c r="L14" s="34" t="str">
        <f aca="false">IF(H14="","",H14*J14)</f>
        <v/>
      </c>
      <c r="M14" s="35" t="str">
        <f aca="false">IF(H14="","",(L14-K14)/K14*10000)</f>
        <v/>
      </c>
      <c r="N14" s="34" t="str">
        <f aca="false">IF(H14="","",K14*IF(E14="업비트",운용규칙!$B$5,운용규칙!$B$6)+L14*IF(F14="업비트",운용규칙!$B$5,운용규칙!$B$6))</f>
        <v/>
      </c>
      <c r="O14" s="34" t="str">
        <f aca="false">IF(H14="","",L14-K14-N14)</f>
        <v/>
      </c>
      <c r="P14" s="35" t="str">
        <f aca="false">IF(H14="","",O14/K14*10000)</f>
        <v/>
      </c>
      <c r="Q14" s="35" t="str">
        <f aca="false">IF(OR(H14="",G14=""),"",G14-P14)</f>
        <v/>
      </c>
      <c r="R14" s="36" t="str">
        <f aca="false">IF(H14="","",IF(OR(G14&lt;운용규칙!$B$8,K14&gt;운용규칙!$B$7),"위반","OK"))</f>
        <v/>
      </c>
      <c r="S14" s="28"/>
    </row>
    <row r="15" customFormat="false" ht="15" hidden="false" customHeight="false" outlineLevel="0" collapsed="false">
      <c r="A15" s="28"/>
      <c r="B15" s="29"/>
      <c r="C15" s="30"/>
      <c r="D15" s="28"/>
      <c r="E15" s="28"/>
      <c r="F15" s="28"/>
      <c r="G15" s="31"/>
      <c r="H15" s="32"/>
      <c r="I15" s="33"/>
      <c r="J15" s="33"/>
      <c r="K15" s="34" t="str">
        <f aca="false">IF(H15="","",H15*I15)</f>
        <v/>
      </c>
      <c r="L15" s="34" t="str">
        <f aca="false">IF(H15="","",H15*J15)</f>
        <v/>
      </c>
      <c r="M15" s="35" t="str">
        <f aca="false">IF(H15="","",(L15-K15)/K15*10000)</f>
        <v/>
      </c>
      <c r="N15" s="34" t="str">
        <f aca="false">IF(H15="","",K15*IF(E15="업비트",운용규칙!$B$5,운용규칙!$B$6)+L15*IF(F15="업비트",운용규칙!$B$5,운용규칙!$B$6))</f>
        <v/>
      </c>
      <c r="O15" s="34" t="str">
        <f aca="false">IF(H15="","",L15-K15-N15)</f>
        <v/>
      </c>
      <c r="P15" s="35" t="str">
        <f aca="false">IF(H15="","",O15/K15*10000)</f>
        <v/>
      </c>
      <c r="Q15" s="35" t="str">
        <f aca="false">IF(OR(H15="",G15=""),"",G15-P15)</f>
        <v/>
      </c>
      <c r="R15" s="36" t="str">
        <f aca="false">IF(H15="","",IF(OR(G15&lt;운용규칙!$B$8,K15&gt;운용규칙!$B$7),"위반","OK"))</f>
        <v/>
      </c>
      <c r="S15" s="28"/>
    </row>
    <row r="16" customFormat="false" ht="15" hidden="false" customHeight="false" outlineLevel="0" collapsed="false">
      <c r="A16" s="28"/>
      <c r="B16" s="29"/>
      <c r="C16" s="30"/>
      <c r="D16" s="28"/>
      <c r="E16" s="28"/>
      <c r="F16" s="28"/>
      <c r="G16" s="31"/>
      <c r="H16" s="32"/>
      <c r="I16" s="33"/>
      <c r="J16" s="33"/>
      <c r="K16" s="34" t="str">
        <f aca="false">IF(H16="","",H16*I16)</f>
        <v/>
      </c>
      <c r="L16" s="34" t="str">
        <f aca="false">IF(H16="","",H16*J16)</f>
        <v/>
      </c>
      <c r="M16" s="35" t="str">
        <f aca="false">IF(H16="","",(L16-K16)/K16*10000)</f>
        <v/>
      </c>
      <c r="N16" s="34" t="str">
        <f aca="false">IF(H16="","",K16*IF(E16="업비트",운용규칙!$B$5,운용규칙!$B$6)+L16*IF(F16="업비트",운용규칙!$B$5,운용규칙!$B$6))</f>
        <v/>
      </c>
      <c r="O16" s="34" t="str">
        <f aca="false">IF(H16="","",L16-K16-N16)</f>
        <v/>
      </c>
      <c r="P16" s="35" t="str">
        <f aca="false">IF(H16="","",O16/K16*10000)</f>
        <v/>
      </c>
      <c r="Q16" s="35" t="str">
        <f aca="false">IF(OR(H16="",G16=""),"",G16-P16)</f>
        <v/>
      </c>
      <c r="R16" s="36" t="str">
        <f aca="false">IF(H16="","",IF(OR(G16&lt;운용규칙!$B$8,K16&gt;운용규칙!$B$7),"위반","OK"))</f>
        <v/>
      </c>
      <c r="S16" s="28"/>
    </row>
    <row r="17" customFormat="false" ht="15" hidden="false" customHeight="false" outlineLevel="0" collapsed="false">
      <c r="A17" s="28"/>
      <c r="B17" s="29"/>
      <c r="C17" s="30"/>
      <c r="D17" s="28"/>
      <c r="E17" s="28"/>
      <c r="F17" s="28"/>
      <c r="G17" s="31"/>
      <c r="H17" s="32"/>
      <c r="I17" s="33"/>
      <c r="J17" s="33"/>
      <c r="K17" s="34" t="str">
        <f aca="false">IF(H17="","",H17*I17)</f>
        <v/>
      </c>
      <c r="L17" s="34" t="str">
        <f aca="false">IF(H17="","",H17*J17)</f>
        <v/>
      </c>
      <c r="M17" s="35" t="str">
        <f aca="false">IF(H17="","",(L17-K17)/K17*10000)</f>
        <v/>
      </c>
      <c r="N17" s="34" t="str">
        <f aca="false">IF(H17="","",K17*IF(E17="업비트",운용규칙!$B$5,운용규칙!$B$6)+L17*IF(F17="업비트",운용규칙!$B$5,운용규칙!$B$6))</f>
        <v/>
      </c>
      <c r="O17" s="34" t="str">
        <f aca="false">IF(H17="","",L17-K17-N17)</f>
        <v/>
      </c>
      <c r="P17" s="35" t="str">
        <f aca="false">IF(H17="","",O17/K17*10000)</f>
        <v/>
      </c>
      <c r="Q17" s="35" t="str">
        <f aca="false">IF(OR(H17="",G17=""),"",G17-P17)</f>
        <v/>
      </c>
      <c r="R17" s="36" t="str">
        <f aca="false">IF(H17="","",IF(OR(G17&lt;운용규칙!$B$8,K17&gt;운용규칙!$B$7),"위반","OK"))</f>
        <v/>
      </c>
      <c r="S17" s="28"/>
    </row>
    <row r="18" customFormat="false" ht="15" hidden="false" customHeight="false" outlineLevel="0" collapsed="false">
      <c r="A18" s="28"/>
      <c r="B18" s="29"/>
      <c r="C18" s="30"/>
      <c r="D18" s="28"/>
      <c r="E18" s="28"/>
      <c r="F18" s="28"/>
      <c r="G18" s="31"/>
      <c r="H18" s="32"/>
      <c r="I18" s="33"/>
      <c r="J18" s="33"/>
      <c r="K18" s="34" t="str">
        <f aca="false">IF(H18="","",H18*I18)</f>
        <v/>
      </c>
      <c r="L18" s="34" t="str">
        <f aca="false">IF(H18="","",H18*J18)</f>
        <v/>
      </c>
      <c r="M18" s="35" t="str">
        <f aca="false">IF(H18="","",(L18-K18)/K18*10000)</f>
        <v/>
      </c>
      <c r="N18" s="34" t="str">
        <f aca="false">IF(H18="","",K18*IF(E18="업비트",운용규칙!$B$5,운용규칙!$B$6)+L18*IF(F18="업비트",운용규칙!$B$5,운용규칙!$B$6))</f>
        <v/>
      </c>
      <c r="O18" s="34" t="str">
        <f aca="false">IF(H18="","",L18-K18-N18)</f>
        <v/>
      </c>
      <c r="P18" s="35" t="str">
        <f aca="false">IF(H18="","",O18/K18*10000)</f>
        <v/>
      </c>
      <c r="Q18" s="35" t="str">
        <f aca="false">IF(OR(H18="",G18=""),"",G18-P18)</f>
        <v/>
      </c>
      <c r="R18" s="36" t="str">
        <f aca="false">IF(H18="","",IF(OR(G18&lt;운용규칙!$B$8,K18&gt;운용규칙!$B$7),"위반","OK"))</f>
        <v/>
      </c>
      <c r="S18" s="28"/>
    </row>
    <row r="19" customFormat="false" ht="15" hidden="false" customHeight="false" outlineLevel="0" collapsed="false">
      <c r="A19" s="28"/>
      <c r="B19" s="29"/>
      <c r="C19" s="30"/>
      <c r="D19" s="28"/>
      <c r="E19" s="28"/>
      <c r="F19" s="28"/>
      <c r="G19" s="31"/>
      <c r="H19" s="32"/>
      <c r="I19" s="33"/>
      <c r="J19" s="33"/>
      <c r="K19" s="34" t="str">
        <f aca="false">IF(H19="","",H19*I19)</f>
        <v/>
      </c>
      <c r="L19" s="34" t="str">
        <f aca="false">IF(H19="","",H19*J19)</f>
        <v/>
      </c>
      <c r="M19" s="35" t="str">
        <f aca="false">IF(H19="","",(L19-K19)/K19*10000)</f>
        <v/>
      </c>
      <c r="N19" s="34" t="str">
        <f aca="false">IF(H19="","",K19*IF(E19="업비트",운용규칙!$B$5,운용규칙!$B$6)+L19*IF(F19="업비트",운용규칙!$B$5,운용규칙!$B$6))</f>
        <v/>
      </c>
      <c r="O19" s="34" t="str">
        <f aca="false">IF(H19="","",L19-K19-N19)</f>
        <v/>
      </c>
      <c r="P19" s="35" t="str">
        <f aca="false">IF(H19="","",O19/K19*10000)</f>
        <v/>
      </c>
      <c r="Q19" s="35" t="str">
        <f aca="false">IF(OR(H19="",G19=""),"",G19-P19)</f>
        <v/>
      </c>
      <c r="R19" s="36" t="str">
        <f aca="false">IF(H19="","",IF(OR(G19&lt;운용규칙!$B$8,K19&gt;운용규칙!$B$7),"위반","OK"))</f>
        <v/>
      </c>
      <c r="S19" s="28"/>
    </row>
    <row r="20" customFormat="false" ht="15" hidden="false" customHeight="false" outlineLevel="0" collapsed="false">
      <c r="A20" s="28"/>
      <c r="B20" s="29"/>
      <c r="C20" s="30"/>
      <c r="D20" s="28"/>
      <c r="E20" s="28"/>
      <c r="F20" s="28"/>
      <c r="G20" s="31"/>
      <c r="H20" s="32"/>
      <c r="I20" s="33"/>
      <c r="J20" s="33"/>
      <c r="K20" s="34" t="str">
        <f aca="false">IF(H20="","",H20*I20)</f>
        <v/>
      </c>
      <c r="L20" s="34" t="str">
        <f aca="false">IF(H20="","",H20*J20)</f>
        <v/>
      </c>
      <c r="M20" s="35" t="str">
        <f aca="false">IF(H20="","",(L20-K20)/K20*10000)</f>
        <v/>
      </c>
      <c r="N20" s="34" t="str">
        <f aca="false">IF(H20="","",K20*IF(E20="업비트",운용규칙!$B$5,운용규칙!$B$6)+L20*IF(F20="업비트",운용규칙!$B$5,운용규칙!$B$6))</f>
        <v/>
      </c>
      <c r="O20" s="34" t="str">
        <f aca="false">IF(H20="","",L20-K20-N20)</f>
        <v/>
      </c>
      <c r="P20" s="35" t="str">
        <f aca="false">IF(H20="","",O20/K20*10000)</f>
        <v/>
      </c>
      <c r="Q20" s="35" t="str">
        <f aca="false">IF(OR(H20="",G20=""),"",G20-P20)</f>
        <v/>
      </c>
      <c r="R20" s="36" t="str">
        <f aca="false">IF(H20="","",IF(OR(G20&lt;운용규칙!$B$8,K20&gt;운용규칙!$B$7),"위반","OK"))</f>
        <v/>
      </c>
      <c r="S20" s="28"/>
    </row>
    <row r="21" customFormat="false" ht="15" hidden="false" customHeight="false" outlineLevel="0" collapsed="false">
      <c r="A21" s="28"/>
      <c r="B21" s="29"/>
      <c r="C21" s="30"/>
      <c r="D21" s="28"/>
      <c r="E21" s="28"/>
      <c r="F21" s="28"/>
      <c r="G21" s="31"/>
      <c r="H21" s="32"/>
      <c r="I21" s="33"/>
      <c r="J21" s="33"/>
      <c r="K21" s="34" t="str">
        <f aca="false">IF(H21="","",H21*I21)</f>
        <v/>
      </c>
      <c r="L21" s="34" t="str">
        <f aca="false">IF(H21="","",H21*J21)</f>
        <v/>
      </c>
      <c r="M21" s="35" t="str">
        <f aca="false">IF(H21="","",(L21-K21)/K21*10000)</f>
        <v/>
      </c>
      <c r="N21" s="34" t="str">
        <f aca="false">IF(H21="","",K21*IF(E21="업비트",운용규칙!$B$5,운용규칙!$B$6)+L21*IF(F21="업비트",운용규칙!$B$5,운용규칙!$B$6))</f>
        <v/>
      </c>
      <c r="O21" s="34" t="str">
        <f aca="false">IF(H21="","",L21-K21-N21)</f>
        <v/>
      </c>
      <c r="P21" s="35" t="str">
        <f aca="false">IF(H21="","",O21/K21*10000)</f>
        <v/>
      </c>
      <c r="Q21" s="35" t="str">
        <f aca="false">IF(OR(H21="",G21=""),"",G21-P21)</f>
        <v/>
      </c>
      <c r="R21" s="36" t="str">
        <f aca="false">IF(H21="","",IF(OR(G21&lt;운용규칙!$B$8,K21&gt;운용규칙!$B$7),"위반","OK"))</f>
        <v/>
      </c>
      <c r="S21" s="28"/>
    </row>
    <row r="22" customFormat="false" ht="15" hidden="false" customHeight="false" outlineLevel="0" collapsed="false">
      <c r="A22" s="28"/>
      <c r="B22" s="29"/>
      <c r="C22" s="30"/>
      <c r="D22" s="28"/>
      <c r="E22" s="28"/>
      <c r="F22" s="28"/>
      <c r="G22" s="31"/>
      <c r="H22" s="32"/>
      <c r="I22" s="33"/>
      <c r="J22" s="33"/>
      <c r="K22" s="34" t="str">
        <f aca="false">IF(H22="","",H22*I22)</f>
        <v/>
      </c>
      <c r="L22" s="34" t="str">
        <f aca="false">IF(H22="","",H22*J22)</f>
        <v/>
      </c>
      <c r="M22" s="35" t="str">
        <f aca="false">IF(H22="","",(L22-K22)/K22*10000)</f>
        <v/>
      </c>
      <c r="N22" s="34" t="str">
        <f aca="false">IF(H22="","",K22*IF(E22="업비트",운용규칙!$B$5,운용규칙!$B$6)+L22*IF(F22="업비트",운용규칙!$B$5,운용규칙!$B$6))</f>
        <v/>
      </c>
      <c r="O22" s="34" t="str">
        <f aca="false">IF(H22="","",L22-K22-N22)</f>
        <v/>
      </c>
      <c r="P22" s="35" t="str">
        <f aca="false">IF(H22="","",O22/K22*10000)</f>
        <v/>
      </c>
      <c r="Q22" s="35" t="str">
        <f aca="false">IF(OR(H22="",G22=""),"",G22-P22)</f>
        <v/>
      </c>
      <c r="R22" s="36" t="str">
        <f aca="false">IF(H22="","",IF(OR(G22&lt;운용규칙!$B$8,K22&gt;운용규칙!$B$7),"위반","OK"))</f>
        <v/>
      </c>
      <c r="S22" s="28"/>
    </row>
    <row r="23" customFormat="false" ht="15" hidden="false" customHeight="false" outlineLevel="0" collapsed="false">
      <c r="A23" s="28"/>
      <c r="B23" s="29"/>
      <c r="C23" s="30"/>
      <c r="D23" s="28"/>
      <c r="E23" s="28"/>
      <c r="F23" s="28"/>
      <c r="G23" s="31"/>
      <c r="H23" s="32"/>
      <c r="I23" s="33"/>
      <c r="J23" s="33"/>
      <c r="K23" s="34" t="str">
        <f aca="false">IF(H23="","",H23*I23)</f>
        <v/>
      </c>
      <c r="L23" s="34" t="str">
        <f aca="false">IF(H23="","",H23*J23)</f>
        <v/>
      </c>
      <c r="M23" s="35" t="str">
        <f aca="false">IF(H23="","",(L23-K23)/K23*10000)</f>
        <v/>
      </c>
      <c r="N23" s="34" t="str">
        <f aca="false">IF(H23="","",K23*IF(E23="업비트",운용규칙!$B$5,운용규칙!$B$6)+L23*IF(F23="업비트",운용규칙!$B$5,운용규칙!$B$6))</f>
        <v/>
      </c>
      <c r="O23" s="34" t="str">
        <f aca="false">IF(H23="","",L23-K23-N23)</f>
        <v/>
      </c>
      <c r="P23" s="35" t="str">
        <f aca="false">IF(H23="","",O23/K23*10000)</f>
        <v/>
      </c>
      <c r="Q23" s="35" t="str">
        <f aca="false">IF(OR(H23="",G23=""),"",G23-P23)</f>
        <v/>
      </c>
      <c r="R23" s="36" t="str">
        <f aca="false">IF(H23="","",IF(OR(G23&lt;운용규칙!$B$8,K23&gt;운용규칙!$B$7),"위반","OK"))</f>
        <v/>
      </c>
      <c r="S23" s="28"/>
    </row>
    <row r="24" customFormat="false" ht="15" hidden="false" customHeight="false" outlineLevel="0" collapsed="false">
      <c r="A24" s="28"/>
      <c r="B24" s="29"/>
      <c r="C24" s="30"/>
      <c r="D24" s="28"/>
      <c r="E24" s="28"/>
      <c r="F24" s="28"/>
      <c r="G24" s="31"/>
      <c r="H24" s="32"/>
      <c r="I24" s="33"/>
      <c r="J24" s="33"/>
      <c r="K24" s="34" t="str">
        <f aca="false">IF(H24="","",H24*I24)</f>
        <v/>
      </c>
      <c r="L24" s="34" t="str">
        <f aca="false">IF(H24="","",H24*J24)</f>
        <v/>
      </c>
      <c r="M24" s="35" t="str">
        <f aca="false">IF(H24="","",(L24-K24)/K24*10000)</f>
        <v/>
      </c>
      <c r="N24" s="34" t="str">
        <f aca="false">IF(H24="","",K24*IF(E24="업비트",운용규칙!$B$5,운용규칙!$B$6)+L24*IF(F24="업비트",운용규칙!$B$5,운용규칙!$B$6))</f>
        <v/>
      </c>
      <c r="O24" s="34" t="str">
        <f aca="false">IF(H24="","",L24-K24-N24)</f>
        <v/>
      </c>
      <c r="P24" s="35" t="str">
        <f aca="false">IF(H24="","",O24/K24*10000)</f>
        <v/>
      </c>
      <c r="Q24" s="35" t="str">
        <f aca="false">IF(OR(H24="",G24=""),"",G24-P24)</f>
        <v/>
      </c>
      <c r="R24" s="36" t="str">
        <f aca="false">IF(H24="","",IF(OR(G24&lt;운용규칙!$B$8,K24&gt;운용규칙!$B$7),"위반","OK"))</f>
        <v/>
      </c>
      <c r="S24" s="28"/>
    </row>
    <row r="25" customFormat="false" ht="15" hidden="false" customHeight="false" outlineLevel="0" collapsed="false">
      <c r="A25" s="28"/>
      <c r="B25" s="29"/>
      <c r="C25" s="30"/>
      <c r="D25" s="28"/>
      <c r="E25" s="28"/>
      <c r="F25" s="28"/>
      <c r="G25" s="31"/>
      <c r="H25" s="32"/>
      <c r="I25" s="33"/>
      <c r="J25" s="33"/>
      <c r="K25" s="34" t="str">
        <f aca="false">IF(H25="","",H25*I25)</f>
        <v/>
      </c>
      <c r="L25" s="34" t="str">
        <f aca="false">IF(H25="","",H25*J25)</f>
        <v/>
      </c>
      <c r="M25" s="35" t="str">
        <f aca="false">IF(H25="","",(L25-K25)/K25*10000)</f>
        <v/>
      </c>
      <c r="N25" s="34" t="str">
        <f aca="false">IF(H25="","",K25*IF(E25="업비트",운용규칙!$B$5,운용규칙!$B$6)+L25*IF(F25="업비트",운용규칙!$B$5,운용규칙!$B$6))</f>
        <v/>
      </c>
      <c r="O25" s="34" t="str">
        <f aca="false">IF(H25="","",L25-K25-N25)</f>
        <v/>
      </c>
      <c r="P25" s="35" t="str">
        <f aca="false">IF(H25="","",O25/K25*10000)</f>
        <v/>
      </c>
      <c r="Q25" s="35" t="str">
        <f aca="false">IF(OR(H25="",G25=""),"",G25-P25)</f>
        <v/>
      </c>
      <c r="R25" s="36" t="str">
        <f aca="false">IF(H25="","",IF(OR(G25&lt;운용규칙!$B$8,K25&gt;운용규칙!$B$7),"위반","OK"))</f>
        <v/>
      </c>
      <c r="S25" s="28"/>
    </row>
    <row r="26" customFormat="false" ht="15" hidden="false" customHeight="false" outlineLevel="0" collapsed="false">
      <c r="A26" s="28"/>
      <c r="B26" s="29"/>
      <c r="C26" s="30"/>
      <c r="D26" s="28"/>
      <c r="E26" s="28"/>
      <c r="F26" s="28"/>
      <c r="G26" s="31"/>
      <c r="H26" s="32"/>
      <c r="I26" s="33"/>
      <c r="J26" s="33"/>
      <c r="K26" s="34" t="str">
        <f aca="false">IF(H26="","",H26*I26)</f>
        <v/>
      </c>
      <c r="L26" s="34" t="str">
        <f aca="false">IF(H26="","",H26*J26)</f>
        <v/>
      </c>
      <c r="M26" s="35" t="str">
        <f aca="false">IF(H26="","",(L26-K26)/K26*10000)</f>
        <v/>
      </c>
      <c r="N26" s="34" t="str">
        <f aca="false">IF(H26="","",K26*IF(E26="업비트",운용규칙!$B$5,운용규칙!$B$6)+L26*IF(F26="업비트",운용규칙!$B$5,운용규칙!$B$6))</f>
        <v/>
      </c>
      <c r="O26" s="34" t="str">
        <f aca="false">IF(H26="","",L26-K26-N26)</f>
        <v/>
      </c>
      <c r="P26" s="35" t="str">
        <f aca="false">IF(H26="","",O26/K26*10000)</f>
        <v/>
      </c>
      <c r="Q26" s="35" t="str">
        <f aca="false">IF(OR(H26="",G26=""),"",G26-P26)</f>
        <v/>
      </c>
      <c r="R26" s="36" t="str">
        <f aca="false">IF(H26="","",IF(OR(G26&lt;운용규칙!$B$8,K26&gt;운용규칙!$B$7),"위반","OK"))</f>
        <v/>
      </c>
      <c r="S26" s="28"/>
    </row>
    <row r="27" customFormat="false" ht="15" hidden="false" customHeight="false" outlineLevel="0" collapsed="false">
      <c r="A27" s="28"/>
      <c r="B27" s="29"/>
      <c r="C27" s="30"/>
      <c r="D27" s="28"/>
      <c r="E27" s="28"/>
      <c r="F27" s="28"/>
      <c r="G27" s="31"/>
      <c r="H27" s="32"/>
      <c r="I27" s="33"/>
      <c r="J27" s="33"/>
      <c r="K27" s="34" t="str">
        <f aca="false">IF(H27="","",H27*I27)</f>
        <v/>
      </c>
      <c r="L27" s="34" t="str">
        <f aca="false">IF(H27="","",H27*J27)</f>
        <v/>
      </c>
      <c r="M27" s="35" t="str">
        <f aca="false">IF(H27="","",(L27-K27)/K27*10000)</f>
        <v/>
      </c>
      <c r="N27" s="34" t="str">
        <f aca="false">IF(H27="","",K27*IF(E27="업비트",운용규칙!$B$5,운용규칙!$B$6)+L27*IF(F27="업비트",운용규칙!$B$5,운용규칙!$B$6))</f>
        <v/>
      </c>
      <c r="O27" s="34" t="str">
        <f aca="false">IF(H27="","",L27-K27-N27)</f>
        <v/>
      </c>
      <c r="P27" s="35" t="str">
        <f aca="false">IF(H27="","",O27/K27*10000)</f>
        <v/>
      </c>
      <c r="Q27" s="35" t="str">
        <f aca="false">IF(OR(H27="",G27=""),"",G27-P27)</f>
        <v/>
      </c>
      <c r="R27" s="36" t="str">
        <f aca="false">IF(H27="","",IF(OR(G27&lt;운용규칙!$B$8,K27&gt;운용규칙!$B$7),"위반","OK"))</f>
        <v/>
      </c>
      <c r="S27" s="28"/>
    </row>
    <row r="28" customFormat="false" ht="15" hidden="false" customHeight="false" outlineLevel="0" collapsed="false">
      <c r="A28" s="28"/>
      <c r="B28" s="29"/>
      <c r="C28" s="30"/>
      <c r="D28" s="28"/>
      <c r="E28" s="28"/>
      <c r="F28" s="28"/>
      <c r="G28" s="31"/>
      <c r="H28" s="32"/>
      <c r="I28" s="33"/>
      <c r="J28" s="33"/>
      <c r="K28" s="34" t="str">
        <f aca="false">IF(H28="","",H28*I28)</f>
        <v/>
      </c>
      <c r="L28" s="34" t="str">
        <f aca="false">IF(H28="","",H28*J28)</f>
        <v/>
      </c>
      <c r="M28" s="35" t="str">
        <f aca="false">IF(H28="","",(L28-K28)/K28*10000)</f>
        <v/>
      </c>
      <c r="N28" s="34" t="str">
        <f aca="false">IF(H28="","",K28*IF(E28="업비트",운용규칙!$B$5,운용규칙!$B$6)+L28*IF(F28="업비트",운용규칙!$B$5,운용규칙!$B$6))</f>
        <v/>
      </c>
      <c r="O28" s="34" t="str">
        <f aca="false">IF(H28="","",L28-K28-N28)</f>
        <v/>
      </c>
      <c r="P28" s="35" t="str">
        <f aca="false">IF(H28="","",O28/K28*10000)</f>
        <v/>
      </c>
      <c r="Q28" s="35" t="str">
        <f aca="false">IF(OR(H28="",G28=""),"",G28-P28)</f>
        <v/>
      </c>
      <c r="R28" s="36" t="str">
        <f aca="false">IF(H28="","",IF(OR(G28&lt;운용규칙!$B$8,K28&gt;운용규칙!$B$7),"위반","OK"))</f>
        <v/>
      </c>
      <c r="S28" s="28"/>
    </row>
    <row r="29" customFormat="false" ht="15" hidden="false" customHeight="false" outlineLevel="0" collapsed="false">
      <c r="A29" s="28"/>
      <c r="B29" s="29"/>
      <c r="C29" s="30"/>
      <c r="D29" s="28"/>
      <c r="E29" s="28"/>
      <c r="F29" s="28"/>
      <c r="G29" s="31"/>
      <c r="H29" s="32"/>
      <c r="I29" s="33"/>
      <c r="J29" s="33"/>
      <c r="K29" s="34" t="str">
        <f aca="false">IF(H29="","",H29*I29)</f>
        <v/>
      </c>
      <c r="L29" s="34" t="str">
        <f aca="false">IF(H29="","",H29*J29)</f>
        <v/>
      </c>
      <c r="M29" s="35" t="str">
        <f aca="false">IF(H29="","",(L29-K29)/K29*10000)</f>
        <v/>
      </c>
      <c r="N29" s="34" t="str">
        <f aca="false">IF(H29="","",K29*IF(E29="업비트",운용규칙!$B$5,운용규칙!$B$6)+L29*IF(F29="업비트",운용규칙!$B$5,운용규칙!$B$6))</f>
        <v/>
      </c>
      <c r="O29" s="34" t="str">
        <f aca="false">IF(H29="","",L29-K29-N29)</f>
        <v/>
      </c>
      <c r="P29" s="35" t="str">
        <f aca="false">IF(H29="","",O29/K29*10000)</f>
        <v/>
      </c>
      <c r="Q29" s="35" t="str">
        <f aca="false">IF(OR(H29="",G29=""),"",G29-P29)</f>
        <v/>
      </c>
      <c r="R29" s="36" t="str">
        <f aca="false">IF(H29="","",IF(OR(G29&lt;운용규칙!$B$8,K29&gt;운용규칙!$B$7),"위반","OK"))</f>
        <v/>
      </c>
      <c r="S29" s="28"/>
    </row>
    <row r="30" customFormat="false" ht="15" hidden="false" customHeight="false" outlineLevel="0" collapsed="false">
      <c r="A30" s="28"/>
      <c r="B30" s="29"/>
      <c r="C30" s="30"/>
      <c r="D30" s="28"/>
      <c r="E30" s="28"/>
      <c r="F30" s="28"/>
      <c r="G30" s="31"/>
      <c r="H30" s="32"/>
      <c r="I30" s="33"/>
      <c r="J30" s="33"/>
      <c r="K30" s="34" t="str">
        <f aca="false">IF(H30="","",H30*I30)</f>
        <v/>
      </c>
      <c r="L30" s="34" t="str">
        <f aca="false">IF(H30="","",H30*J30)</f>
        <v/>
      </c>
      <c r="M30" s="35" t="str">
        <f aca="false">IF(H30="","",(L30-K30)/K30*10000)</f>
        <v/>
      </c>
      <c r="N30" s="34" t="str">
        <f aca="false">IF(H30="","",K30*IF(E30="업비트",운용규칙!$B$5,운용규칙!$B$6)+L30*IF(F30="업비트",운용규칙!$B$5,운용규칙!$B$6))</f>
        <v/>
      </c>
      <c r="O30" s="34" t="str">
        <f aca="false">IF(H30="","",L30-K30-N30)</f>
        <v/>
      </c>
      <c r="P30" s="35" t="str">
        <f aca="false">IF(H30="","",O30/K30*10000)</f>
        <v/>
      </c>
      <c r="Q30" s="35" t="str">
        <f aca="false">IF(OR(H30="",G30=""),"",G30-P30)</f>
        <v/>
      </c>
      <c r="R30" s="36" t="str">
        <f aca="false">IF(H30="","",IF(OR(G30&lt;운용규칙!$B$8,K30&gt;운용규칙!$B$7),"위반","OK"))</f>
        <v/>
      </c>
      <c r="S30" s="28"/>
    </row>
    <row r="31" customFormat="false" ht="15" hidden="false" customHeight="false" outlineLevel="0" collapsed="false">
      <c r="A31" s="28"/>
      <c r="B31" s="29"/>
      <c r="C31" s="30"/>
      <c r="D31" s="28"/>
      <c r="E31" s="28"/>
      <c r="F31" s="28"/>
      <c r="G31" s="31"/>
      <c r="H31" s="32"/>
      <c r="I31" s="33"/>
      <c r="J31" s="33"/>
      <c r="K31" s="34" t="str">
        <f aca="false">IF(H31="","",H31*I31)</f>
        <v/>
      </c>
      <c r="L31" s="34" t="str">
        <f aca="false">IF(H31="","",H31*J31)</f>
        <v/>
      </c>
      <c r="M31" s="35" t="str">
        <f aca="false">IF(H31="","",(L31-K31)/K31*10000)</f>
        <v/>
      </c>
      <c r="N31" s="34" t="str">
        <f aca="false">IF(H31="","",K31*IF(E31="업비트",운용규칙!$B$5,운용규칙!$B$6)+L31*IF(F31="업비트",운용규칙!$B$5,운용규칙!$B$6))</f>
        <v/>
      </c>
      <c r="O31" s="34" t="str">
        <f aca="false">IF(H31="","",L31-K31-N31)</f>
        <v/>
      </c>
      <c r="P31" s="35" t="str">
        <f aca="false">IF(H31="","",O31/K31*10000)</f>
        <v/>
      </c>
      <c r="Q31" s="35" t="str">
        <f aca="false">IF(OR(H31="",G31=""),"",G31-P31)</f>
        <v/>
      </c>
      <c r="R31" s="36" t="str">
        <f aca="false">IF(H31="","",IF(OR(G31&lt;운용규칙!$B$8,K31&gt;운용규칙!$B$7),"위반","OK"))</f>
        <v/>
      </c>
      <c r="S31" s="28"/>
    </row>
    <row r="32" customFormat="false" ht="15" hidden="false" customHeight="false" outlineLevel="0" collapsed="false">
      <c r="A32" s="28"/>
      <c r="B32" s="29"/>
      <c r="C32" s="30"/>
      <c r="D32" s="28"/>
      <c r="E32" s="28"/>
      <c r="F32" s="28"/>
      <c r="G32" s="31"/>
      <c r="H32" s="32"/>
      <c r="I32" s="33"/>
      <c r="J32" s="33"/>
      <c r="K32" s="34" t="str">
        <f aca="false">IF(H32="","",H32*I32)</f>
        <v/>
      </c>
      <c r="L32" s="34" t="str">
        <f aca="false">IF(H32="","",H32*J32)</f>
        <v/>
      </c>
      <c r="M32" s="35" t="str">
        <f aca="false">IF(H32="","",(L32-K32)/K32*10000)</f>
        <v/>
      </c>
      <c r="N32" s="34" t="str">
        <f aca="false">IF(H32="","",K32*IF(E32="업비트",운용규칙!$B$5,운용규칙!$B$6)+L32*IF(F32="업비트",운용규칙!$B$5,운용규칙!$B$6))</f>
        <v/>
      </c>
      <c r="O32" s="34" t="str">
        <f aca="false">IF(H32="","",L32-K32-N32)</f>
        <v/>
      </c>
      <c r="P32" s="35" t="str">
        <f aca="false">IF(H32="","",O32/K32*10000)</f>
        <v/>
      </c>
      <c r="Q32" s="35" t="str">
        <f aca="false">IF(OR(H32="",G32=""),"",G32-P32)</f>
        <v/>
      </c>
      <c r="R32" s="36" t="str">
        <f aca="false">IF(H32="","",IF(OR(G32&lt;운용규칙!$B$8,K32&gt;운용규칙!$B$7),"위반","OK"))</f>
        <v/>
      </c>
      <c r="S32" s="28"/>
    </row>
    <row r="33" customFormat="false" ht="15" hidden="false" customHeight="false" outlineLevel="0" collapsed="false">
      <c r="A33" s="28"/>
      <c r="B33" s="29"/>
      <c r="C33" s="30"/>
      <c r="D33" s="28"/>
      <c r="E33" s="28"/>
      <c r="F33" s="28"/>
      <c r="G33" s="31"/>
      <c r="H33" s="32"/>
      <c r="I33" s="33"/>
      <c r="J33" s="33"/>
      <c r="K33" s="34" t="str">
        <f aca="false">IF(H33="","",H33*I33)</f>
        <v/>
      </c>
      <c r="L33" s="34" t="str">
        <f aca="false">IF(H33="","",H33*J33)</f>
        <v/>
      </c>
      <c r="M33" s="35" t="str">
        <f aca="false">IF(H33="","",(L33-K33)/K33*10000)</f>
        <v/>
      </c>
      <c r="N33" s="34" t="str">
        <f aca="false">IF(H33="","",K33*IF(E33="업비트",운용규칙!$B$5,운용규칙!$B$6)+L33*IF(F33="업비트",운용규칙!$B$5,운용규칙!$B$6))</f>
        <v/>
      </c>
      <c r="O33" s="34" t="str">
        <f aca="false">IF(H33="","",L33-K33-N33)</f>
        <v/>
      </c>
      <c r="P33" s="35" t="str">
        <f aca="false">IF(H33="","",O33/K33*10000)</f>
        <v/>
      </c>
      <c r="Q33" s="35" t="str">
        <f aca="false">IF(OR(H33="",G33=""),"",G33-P33)</f>
        <v/>
      </c>
      <c r="R33" s="36" t="str">
        <f aca="false">IF(H33="","",IF(OR(G33&lt;운용규칙!$B$8,K33&gt;운용규칙!$B$7),"위반","OK"))</f>
        <v/>
      </c>
      <c r="S33" s="28"/>
    </row>
    <row r="34" customFormat="false" ht="15" hidden="false" customHeight="false" outlineLevel="0" collapsed="false">
      <c r="A34" s="28"/>
      <c r="B34" s="29"/>
      <c r="C34" s="30"/>
      <c r="D34" s="28"/>
      <c r="E34" s="28"/>
      <c r="F34" s="28"/>
      <c r="G34" s="31"/>
      <c r="H34" s="32"/>
      <c r="I34" s="33"/>
      <c r="J34" s="33"/>
      <c r="K34" s="34" t="str">
        <f aca="false">IF(H34="","",H34*I34)</f>
        <v/>
      </c>
      <c r="L34" s="34" t="str">
        <f aca="false">IF(H34="","",H34*J34)</f>
        <v/>
      </c>
      <c r="M34" s="35" t="str">
        <f aca="false">IF(H34="","",(L34-K34)/K34*10000)</f>
        <v/>
      </c>
      <c r="N34" s="34" t="str">
        <f aca="false">IF(H34="","",K34*IF(E34="업비트",운용규칙!$B$5,운용규칙!$B$6)+L34*IF(F34="업비트",운용규칙!$B$5,운용규칙!$B$6))</f>
        <v/>
      </c>
      <c r="O34" s="34" t="str">
        <f aca="false">IF(H34="","",L34-K34-N34)</f>
        <v/>
      </c>
      <c r="P34" s="35" t="str">
        <f aca="false">IF(H34="","",O34/K34*10000)</f>
        <v/>
      </c>
      <c r="Q34" s="35" t="str">
        <f aca="false">IF(OR(H34="",G34=""),"",G34-P34)</f>
        <v/>
      </c>
      <c r="R34" s="36" t="str">
        <f aca="false">IF(H34="","",IF(OR(G34&lt;운용규칙!$B$8,K34&gt;운용규칙!$B$7),"위반","OK"))</f>
        <v/>
      </c>
      <c r="S34" s="28"/>
    </row>
    <row r="35" customFormat="false" ht="15" hidden="false" customHeight="false" outlineLevel="0" collapsed="false">
      <c r="A35" s="28"/>
      <c r="B35" s="29"/>
      <c r="C35" s="30"/>
      <c r="D35" s="28"/>
      <c r="E35" s="28"/>
      <c r="F35" s="28"/>
      <c r="G35" s="31"/>
      <c r="H35" s="32"/>
      <c r="I35" s="33"/>
      <c r="J35" s="33"/>
      <c r="K35" s="34" t="str">
        <f aca="false">IF(H35="","",H35*I35)</f>
        <v/>
      </c>
      <c r="L35" s="34" t="str">
        <f aca="false">IF(H35="","",H35*J35)</f>
        <v/>
      </c>
      <c r="M35" s="35" t="str">
        <f aca="false">IF(H35="","",(L35-K35)/K35*10000)</f>
        <v/>
      </c>
      <c r="N35" s="34" t="str">
        <f aca="false">IF(H35="","",K35*IF(E35="업비트",운용규칙!$B$5,운용규칙!$B$6)+L35*IF(F35="업비트",운용규칙!$B$5,운용규칙!$B$6))</f>
        <v/>
      </c>
      <c r="O35" s="34" t="str">
        <f aca="false">IF(H35="","",L35-K35-N35)</f>
        <v/>
      </c>
      <c r="P35" s="35" t="str">
        <f aca="false">IF(H35="","",O35/K35*10000)</f>
        <v/>
      </c>
      <c r="Q35" s="35" t="str">
        <f aca="false">IF(OR(H35="",G35=""),"",G35-P35)</f>
        <v/>
      </c>
      <c r="R35" s="36" t="str">
        <f aca="false">IF(H35="","",IF(OR(G35&lt;운용규칙!$B$8,K35&gt;운용규칙!$B$7),"위반","OK"))</f>
        <v/>
      </c>
      <c r="S35" s="28"/>
    </row>
    <row r="36" customFormat="false" ht="15" hidden="false" customHeight="false" outlineLevel="0" collapsed="false">
      <c r="A36" s="28"/>
      <c r="B36" s="29"/>
      <c r="C36" s="30"/>
      <c r="D36" s="28"/>
      <c r="E36" s="28"/>
      <c r="F36" s="28"/>
      <c r="G36" s="31"/>
      <c r="H36" s="32"/>
      <c r="I36" s="33"/>
      <c r="J36" s="33"/>
      <c r="K36" s="34" t="str">
        <f aca="false">IF(H36="","",H36*I36)</f>
        <v/>
      </c>
      <c r="L36" s="34" t="str">
        <f aca="false">IF(H36="","",H36*J36)</f>
        <v/>
      </c>
      <c r="M36" s="35" t="str">
        <f aca="false">IF(H36="","",(L36-K36)/K36*10000)</f>
        <v/>
      </c>
      <c r="N36" s="34" t="str">
        <f aca="false">IF(H36="","",K36*IF(E36="업비트",운용규칙!$B$5,운용규칙!$B$6)+L36*IF(F36="업비트",운용규칙!$B$5,운용규칙!$B$6))</f>
        <v/>
      </c>
      <c r="O36" s="34" t="str">
        <f aca="false">IF(H36="","",L36-K36-N36)</f>
        <v/>
      </c>
      <c r="P36" s="35" t="str">
        <f aca="false">IF(H36="","",O36/K36*10000)</f>
        <v/>
      </c>
      <c r="Q36" s="35" t="str">
        <f aca="false">IF(OR(H36="",G36=""),"",G36-P36)</f>
        <v/>
      </c>
      <c r="R36" s="36" t="str">
        <f aca="false">IF(H36="","",IF(OR(G36&lt;운용규칙!$B$8,K36&gt;운용규칙!$B$7),"위반","OK"))</f>
        <v/>
      </c>
      <c r="S36" s="28"/>
    </row>
    <row r="37" customFormat="false" ht="15" hidden="false" customHeight="false" outlineLevel="0" collapsed="false">
      <c r="A37" s="28"/>
      <c r="B37" s="29"/>
      <c r="C37" s="30"/>
      <c r="D37" s="28"/>
      <c r="E37" s="28"/>
      <c r="F37" s="28"/>
      <c r="G37" s="31"/>
      <c r="H37" s="32"/>
      <c r="I37" s="33"/>
      <c r="J37" s="33"/>
      <c r="K37" s="34" t="str">
        <f aca="false">IF(H37="","",H37*I37)</f>
        <v/>
      </c>
      <c r="L37" s="34" t="str">
        <f aca="false">IF(H37="","",H37*J37)</f>
        <v/>
      </c>
      <c r="M37" s="35" t="str">
        <f aca="false">IF(H37="","",(L37-K37)/K37*10000)</f>
        <v/>
      </c>
      <c r="N37" s="34" t="str">
        <f aca="false">IF(H37="","",K37*IF(E37="업비트",운용규칙!$B$5,운용규칙!$B$6)+L37*IF(F37="업비트",운용규칙!$B$5,운용규칙!$B$6))</f>
        <v/>
      </c>
      <c r="O37" s="34" t="str">
        <f aca="false">IF(H37="","",L37-K37-N37)</f>
        <v/>
      </c>
      <c r="P37" s="35" t="str">
        <f aca="false">IF(H37="","",O37/K37*10000)</f>
        <v/>
      </c>
      <c r="Q37" s="35" t="str">
        <f aca="false">IF(OR(H37="",G37=""),"",G37-P37)</f>
        <v/>
      </c>
      <c r="R37" s="36" t="str">
        <f aca="false">IF(H37="","",IF(OR(G37&lt;운용규칙!$B$8,K37&gt;운용규칙!$B$7),"위반","OK"))</f>
        <v/>
      </c>
      <c r="S37" s="28"/>
    </row>
    <row r="38" customFormat="false" ht="15" hidden="false" customHeight="false" outlineLevel="0" collapsed="false">
      <c r="A38" s="28"/>
      <c r="B38" s="29"/>
      <c r="C38" s="30"/>
      <c r="D38" s="28"/>
      <c r="E38" s="28"/>
      <c r="F38" s="28"/>
      <c r="G38" s="31"/>
      <c r="H38" s="32"/>
      <c r="I38" s="33"/>
      <c r="J38" s="33"/>
      <c r="K38" s="34" t="str">
        <f aca="false">IF(H38="","",H38*I38)</f>
        <v/>
      </c>
      <c r="L38" s="34" t="str">
        <f aca="false">IF(H38="","",H38*J38)</f>
        <v/>
      </c>
      <c r="M38" s="35" t="str">
        <f aca="false">IF(H38="","",(L38-K38)/K38*10000)</f>
        <v/>
      </c>
      <c r="N38" s="34" t="str">
        <f aca="false">IF(H38="","",K38*IF(E38="업비트",운용규칙!$B$5,운용규칙!$B$6)+L38*IF(F38="업비트",운용규칙!$B$5,운용규칙!$B$6))</f>
        <v/>
      </c>
      <c r="O38" s="34" t="str">
        <f aca="false">IF(H38="","",L38-K38-N38)</f>
        <v/>
      </c>
      <c r="P38" s="35" t="str">
        <f aca="false">IF(H38="","",O38/K38*10000)</f>
        <v/>
      </c>
      <c r="Q38" s="35" t="str">
        <f aca="false">IF(OR(H38="",G38=""),"",G38-P38)</f>
        <v/>
      </c>
      <c r="R38" s="36" t="str">
        <f aca="false">IF(H38="","",IF(OR(G38&lt;운용규칙!$B$8,K38&gt;운용규칙!$B$7),"위반","OK"))</f>
        <v/>
      </c>
      <c r="S38" s="28"/>
    </row>
    <row r="39" customFormat="false" ht="15" hidden="false" customHeight="false" outlineLevel="0" collapsed="false">
      <c r="A39" s="28"/>
      <c r="B39" s="29"/>
      <c r="C39" s="30"/>
      <c r="D39" s="28"/>
      <c r="E39" s="28"/>
      <c r="F39" s="28"/>
      <c r="G39" s="31"/>
      <c r="H39" s="32"/>
      <c r="I39" s="33"/>
      <c r="J39" s="33"/>
      <c r="K39" s="34" t="str">
        <f aca="false">IF(H39="","",H39*I39)</f>
        <v/>
      </c>
      <c r="L39" s="34" t="str">
        <f aca="false">IF(H39="","",H39*J39)</f>
        <v/>
      </c>
      <c r="M39" s="35" t="str">
        <f aca="false">IF(H39="","",(L39-K39)/K39*10000)</f>
        <v/>
      </c>
      <c r="N39" s="34" t="str">
        <f aca="false">IF(H39="","",K39*IF(E39="업비트",운용규칙!$B$5,운용규칙!$B$6)+L39*IF(F39="업비트",운용규칙!$B$5,운용규칙!$B$6))</f>
        <v/>
      </c>
      <c r="O39" s="34" t="str">
        <f aca="false">IF(H39="","",L39-K39-N39)</f>
        <v/>
      </c>
      <c r="P39" s="35" t="str">
        <f aca="false">IF(H39="","",O39/K39*10000)</f>
        <v/>
      </c>
      <c r="Q39" s="35" t="str">
        <f aca="false">IF(OR(H39="",G39=""),"",G39-P39)</f>
        <v/>
      </c>
      <c r="R39" s="36" t="str">
        <f aca="false">IF(H39="","",IF(OR(G39&lt;운용규칙!$B$8,K39&gt;운용규칙!$B$7),"위반","OK"))</f>
        <v/>
      </c>
      <c r="S39" s="28"/>
    </row>
    <row r="40" customFormat="false" ht="15" hidden="false" customHeight="false" outlineLevel="0" collapsed="false">
      <c r="A40" s="28"/>
      <c r="B40" s="29"/>
      <c r="C40" s="30"/>
      <c r="D40" s="28"/>
      <c r="E40" s="28"/>
      <c r="F40" s="28"/>
      <c r="G40" s="31"/>
      <c r="H40" s="32"/>
      <c r="I40" s="33"/>
      <c r="J40" s="33"/>
      <c r="K40" s="34" t="str">
        <f aca="false">IF(H40="","",H40*I40)</f>
        <v/>
      </c>
      <c r="L40" s="34" t="str">
        <f aca="false">IF(H40="","",H40*J40)</f>
        <v/>
      </c>
      <c r="M40" s="35" t="str">
        <f aca="false">IF(H40="","",(L40-K40)/K40*10000)</f>
        <v/>
      </c>
      <c r="N40" s="34" t="str">
        <f aca="false">IF(H40="","",K40*IF(E40="업비트",운용규칙!$B$5,운용규칙!$B$6)+L40*IF(F40="업비트",운용규칙!$B$5,운용규칙!$B$6))</f>
        <v/>
      </c>
      <c r="O40" s="34" t="str">
        <f aca="false">IF(H40="","",L40-K40-N40)</f>
        <v/>
      </c>
      <c r="P40" s="35" t="str">
        <f aca="false">IF(H40="","",O40/K40*10000)</f>
        <v/>
      </c>
      <c r="Q40" s="35" t="str">
        <f aca="false">IF(OR(H40="",G40=""),"",G40-P40)</f>
        <v/>
      </c>
      <c r="R40" s="36" t="str">
        <f aca="false">IF(H40="","",IF(OR(G40&lt;운용규칙!$B$8,K40&gt;운용규칙!$B$7),"위반","OK"))</f>
        <v/>
      </c>
      <c r="S40" s="28"/>
    </row>
    <row r="41" customFormat="false" ht="15" hidden="false" customHeight="false" outlineLevel="0" collapsed="false">
      <c r="A41" s="28"/>
      <c r="B41" s="29"/>
      <c r="C41" s="30"/>
      <c r="D41" s="28"/>
      <c r="E41" s="28"/>
      <c r="F41" s="28"/>
      <c r="G41" s="31"/>
      <c r="H41" s="32"/>
      <c r="I41" s="33"/>
      <c r="J41" s="33"/>
      <c r="K41" s="34" t="str">
        <f aca="false">IF(H41="","",H41*I41)</f>
        <v/>
      </c>
      <c r="L41" s="34" t="str">
        <f aca="false">IF(H41="","",H41*J41)</f>
        <v/>
      </c>
      <c r="M41" s="35" t="str">
        <f aca="false">IF(H41="","",(L41-K41)/K41*10000)</f>
        <v/>
      </c>
      <c r="N41" s="34" t="str">
        <f aca="false">IF(H41="","",K41*IF(E41="업비트",운용규칙!$B$5,운용규칙!$B$6)+L41*IF(F41="업비트",운용규칙!$B$5,운용규칙!$B$6))</f>
        <v/>
      </c>
      <c r="O41" s="34" t="str">
        <f aca="false">IF(H41="","",L41-K41-N41)</f>
        <v/>
      </c>
      <c r="P41" s="35" t="str">
        <f aca="false">IF(H41="","",O41/K41*10000)</f>
        <v/>
      </c>
      <c r="Q41" s="35" t="str">
        <f aca="false">IF(OR(H41="",G41=""),"",G41-P41)</f>
        <v/>
      </c>
      <c r="R41" s="36" t="str">
        <f aca="false">IF(H41="","",IF(OR(G41&lt;운용규칙!$B$8,K41&gt;운용규칙!$B$7),"위반","OK"))</f>
        <v/>
      </c>
      <c r="S41" s="28"/>
    </row>
    <row r="42" customFormat="false" ht="15" hidden="false" customHeight="false" outlineLevel="0" collapsed="false">
      <c r="A42" s="28"/>
      <c r="B42" s="29"/>
      <c r="C42" s="30"/>
      <c r="D42" s="28"/>
      <c r="E42" s="28"/>
      <c r="F42" s="28"/>
      <c r="G42" s="31"/>
      <c r="H42" s="32"/>
      <c r="I42" s="33"/>
      <c r="J42" s="33"/>
      <c r="K42" s="34" t="str">
        <f aca="false">IF(H42="","",H42*I42)</f>
        <v/>
      </c>
      <c r="L42" s="34" t="str">
        <f aca="false">IF(H42="","",H42*J42)</f>
        <v/>
      </c>
      <c r="M42" s="35" t="str">
        <f aca="false">IF(H42="","",(L42-K42)/K42*10000)</f>
        <v/>
      </c>
      <c r="N42" s="34" t="str">
        <f aca="false">IF(H42="","",K42*IF(E42="업비트",운용규칙!$B$5,운용규칙!$B$6)+L42*IF(F42="업비트",운용규칙!$B$5,운용규칙!$B$6))</f>
        <v/>
      </c>
      <c r="O42" s="34" t="str">
        <f aca="false">IF(H42="","",L42-K42-N42)</f>
        <v/>
      </c>
      <c r="P42" s="35" t="str">
        <f aca="false">IF(H42="","",O42/K42*10000)</f>
        <v/>
      </c>
      <c r="Q42" s="35" t="str">
        <f aca="false">IF(OR(H42="",G42=""),"",G42-P42)</f>
        <v/>
      </c>
      <c r="R42" s="36" t="str">
        <f aca="false">IF(H42="","",IF(OR(G42&lt;운용규칙!$B$8,K42&gt;운용규칙!$B$7),"위반","OK"))</f>
        <v/>
      </c>
      <c r="S42" s="28"/>
    </row>
    <row r="43" customFormat="false" ht="15" hidden="false" customHeight="false" outlineLevel="0" collapsed="false">
      <c r="A43" s="28"/>
      <c r="B43" s="29"/>
      <c r="C43" s="30"/>
      <c r="D43" s="28"/>
      <c r="E43" s="28"/>
      <c r="F43" s="28"/>
      <c r="G43" s="31"/>
      <c r="H43" s="32"/>
      <c r="I43" s="33"/>
      <c r="J43" s="33"/>
      <c r="K43" s="34" t="str">
        <f aca="false">IF(H43="","",H43*I43)</f>
        <v/>
      </c>
      <c r="L43" s="34" t="str">
        <f aca="false">IF(H43="","",H43*J43)</f>
        <v/>
      </c>
      <c r="M43" s="35" t="str">
        <f aca="false">IF(H43="","",(L43-K43)/K43*10000)</f>
        <v/>
      </c>
      <c r="N43" s="34" t="str">
        <f aca="false">IF(H43="","",K43*IF(E43="업비트",운용규칙!$B$5,운용규칙!$B$6)+L43*IF(F43="업비트",운용규칙!$B$5,운용규칙!$B$6))</f>
        <v/>
      </c>
      <c r="O43" s="34" t="str">
        <f aca="false">IF(H43="","",L43-K43-N43)</f>
        <v/>
      </c>
      <c r="P43" s="35" t="str">
        <f aca="false">IF(H43="","",O43/K43*10000)</f>
        <v/>
      </c>
      <c r="Q43" s="35" t="str">
        <f aca="false">IF(OR(H43="",G43=""),"",G43-P43)</f>
        <v/>
      </c>
      <c r="R43" s="36" t="str">
        <f aca="false">IF(H43="","",IF(OR(G43&lt;운용규칙!$B$8,K43&gt;운용규칙!$B$7),"위반","OK"))</f>
        <v/>
      </c>
      <c r="S43" s="28"/>
    </row>
    <row r="44" customFormat="false" ht="15" hidden="false" customHeight="false" outlineLevel="0" collapsed="false">
      <c r="A44" s="28"/>
      <c r="B44" s="29"/>
      <c r="C44" s="30"/>
      <c r="D44" s="28"/>
      <c r="E44" s="28"/>
      <c r="F44" s="28"/>
      <c r="G44" s="31"/>
      <c r="H44" s="32"/>
      <c r="I44" s="33"/>
      <c r="J44" s="33"/>
      <c r="K44" s="34" t="str">
        <f aca="false">IF(H44="","",H44*I44)</f>
        <v/>
      </c>
      <c r="L44" s="34" t="str">
        <f aca="false">IF(H44="","",H44*J44)</f>
        <v/>
      </c>
      <c r="M44" s="35" t="str">
        <f aca="false">IF(H44="","",(L44-K44)/K44*10000)</f>
        <v/>
      </c>
      <c r="N44" s="34" t="str">
        <f aca="false">IF(H44="","",K44*IF(E44="업비트",운용규칙!$B$5,운용규칙!$B$6)+L44*IF(F44="업비트",운용규칙!$B$5,운용규칙!$B$6))</f>
        <v/>
      </c>
      <c r="O44" s="34" t="str">
        <f aca="false">IF(H44="","",L44-K44-N44)</f>
        <v/>
      </c>
      <c r="P44" s="35" t="str">
        <f aca="false">IF(H44="","",O44/K44*10000)</f>
        <v/>
      </c>
      <c r="Q44" s="35" t="str">
        <f aca="false">IF(OR(H44="",G44=""),"",G44-P44)</f>
        <v/>
      </c>
      <c r="R44" s="36" t="str">
        <f aca="false">IF(H44="","",IF(OR(G44&lt;운용규칙!$B$8,K44&gt;운용규칙!$B$7),"위반","OK"))</f>
        <v/>
      </c>
      <c r="S44" s="28"/>
    </row>
    <row r="45" customFormat="false" ht="15" hidden="false" customHeight="false" outlineLevel="0" collapsed="false">
      <c r="A45" s="28"/>
      <c r="B45" s="29"/>
      <c r="C45" s="30"/>
      <c r="D45" s="28"/>
      <c r="E45" s="28"/>
      <c r="F45" s="28"/>
      <c r="G45" s="31"/>
      <c r="H45" s="32"/>
      <c r="I45" s="33"/>
      <c r="J45" s="33"/>
      <c r="K45" s="34" t="str">
        <f aca="false">IF(H45="","",H45*I45)</f>
        <v/>
      </c>
      <c r="L45" s="34" t="str">
        <f aca="false">IF(H45="","",H45*J45)</f>
        <v/>
      </c>
      <c r="M45" s="35" t="str">
        <f aca="false">IF(H45="","",(L45-K45)/K45*10000)</f>
        <v/>
      </c>
      <c r="N45" s="34" t="str">
        <f aca="false">IF(H45="","",K45*IF(E45="업비트",운용규칙!$B$5,운용규칙!$B$6)+L45*IF(F45="업비트",운용규칙!$B$5,운용규칙!$B$6))</f>
        <v/>
      </c>
      <c r="O45" s="34" t="str">
        <f aca="false">IF(H45="","",L45-K45-N45)</f>
        <v/>
      </c>
      <c r="P45" s="35" t="str">
        <f aca="false">IF(H45="","",O45/K45*10000)</f>
        <v/>
      </c>
      <c r="Q45" s="35" t="str">
        <f aca="false">IF(OR(H45="",G45=""),"",G45-P45)</f>
        <v/>
      </c>
      <c r="R45" s="36" t="str">
        <f aca="false">IF(H45="","",IF(OR(G45&lt;운용규칙!$B$8,K45&gt;운용규칙!$B$7),"위반","OK"))</f>
        <v/>
      </c>
      <c r="S45" s="28"/>
    </row>
    <row r="46" customFormat="false" ht="15" hidden="false" customHeight="false" outlineLevel="0" collapsed="false">
      <c r="A46" s="28"/>
      <c r="B46" s="29"/>
      <c r="C46" s="30"/>
      <c r="D46" s="28"/>
      <c r="E46" s="28"/>
      <c r="F46" s="28"/>
      <c r="G46" s="31"/>
      <c r="H46" s="32"/>
      <c r="I46" s="33"/>
      <c r="J46" s="33"/>
      <c r="K46" s="34" t="str">
        <f aca="false">IF(H46="","",H46*I46)</f>
        <v/>
      </c>
      <c r="L46" s="34" t="str">
        <f aca="false">IF(H46="","",H46*J46)</f>
        <v/>
      </c>
      <c r="M46" s="35" t="str">
        <f aca="false">IF(H46="","",(L46-K46)/K46*10000)</f>
        <v/>
      </c>
      <c r="N46" s="34" t="str">
        <f aca="false">IF(H46="","",K46*IF(E46="업비트",운용규칙!$B$5,운용규칙!$B$6)+L46*IF(F46="업비트",운용규칙!$B$5,운용규칙!$B$6))</f>
        <v/>
      </c>
      <c r="O46" s="34" t="str">
        <f aca="false">IF(H46="","",L46-K46-N46)</f>
        <v/>
      </c>
      <c r="P46" s="35" t="str">
        <f aca="false">IF(H46="","",O46/K46*10000)</f>
        <v/>
      </c>
      <c r="Q46" s="35" t="str">
        <f aca="false">IF(OR(H46="",G46=""),"",G46-P46)</f>
        <v/>
      </c>
      <c r="R46" s="36" t="str">
        <f aca="false">IF(H46="","",IF(OR(G46&lt;운용규칙!$B$8,K46&gt;운용규칙!$B$7),"위반","OK"))</f>
        <v/>
      </c>
      <c r="S46" s="28"/>
    </row>
    <row r="47" customFormat="false" ht="15" hidden="false" customHeight="false" outlineLevel="0" collapsed="false">
      <c r="A47" s="28"/>
      <c r="B47" s="29"/>
      <c r="C47" s="30"/>
      <c r="D47" s="28"/>
      <c r="E47" s="28"/>
      <c r="F47" s="28"/>
      <c r="G47" s="31"/>
      <c r="H47" s="32"/>
      <c r="I47" s="33"/>
      <c r="J47" s="33"/>
      <c r="K47" s="34" t="str">
        <f aca="false">IF(H47="","",H47*I47)</f>
        <v/>
      </c>
      <c r="L47" s="34" t="str">
        <f aca="false">IF(H47="","",H47*J47)</f>
        <v/>
      </c>
      <c r="M47" s="35" t="str">
        <f aca="false">IF(H47="","",(L47-K47)/K47*10000)</f>
        <v/>
      </c>
      <c r="N47" s="34" t="str">
        <f aca="false">IF(H47="","",K47*IF(E47="업비트",운용규칙!$B$5,운용규칙!$B$6)+L47*IF(F47="업비트",운용규칙!$B$5,운용규칙!$B$6))</f>
        <v/>
      </c>
      <c r="O47" s="34" t="str">
        <f aca="false">IF(H47="","",L47-K47-N47)</f>
        <v/>
      </c>
      <c r="P47" s="35" t="str">
        <f aca="false">IF(H47="","",O47/K47*10000)</f>
        <v/>
      </c>
      <c r="Q47" s="35" t="str">
        <f aca="false">IF(OR(H47="",G47=""),"",G47-P47)</f>
        <v/>
      </c>
      <c r="R47" s="36" t="str">
        <f aca="false">IF(H47="","",IF(OR(G47&lt;운용규칙!$B$8,K47&gt;운용규칙!$B$7),"위반","OK"))</f>
        <v/>
      </c>
      <c r="S47" s="28"/>
    </row>
    <row r="48" customFormat="false" ht="15" hidden="false" customHeight="false" outlineLevel="0" collapsed="false">
      <c r="A48" s="28"/>
      <c r="B48" s="29"/>
      <c r="C48" s="30"/>
      <c r="D48" s="28"/>
      <c r="E48" s="28"/>
      <c r="F48" s="28"/>
      <c r="G48" s="31"/>
      <c r="H48" s="32"/>
      <c r="I48" s="33"/>
      <c r="J48" s="33"/>
      <c r="K48" s="34" t="str">
        <f aca="false">IF(H48="","",H48*I48)</f>
        <v/>
      </c>
      <c r="L48" s="34" t="str">
        <f aca="false">IF(H48="","",H48*J48)</f>
        <v/>
      </c>
      <c r="M48" s="35" t="str">
        <f aca="false">IF(H48="","",(L48-K48)/K48*10000)</f>
        <v/>
      </c>
      <c r="N48" s="34" t="str">
        <f aca="false">IF(H48="","",K48*IF(E48="업비트",운용규칙!$B$5,운용규칙!$B$6)+L48*IF(F48="업비트",운용규칙!$B$5,운용규칙!$B$6))</f>
        <v/>
      </c>
      <c r="O48" s="34" t="str">
        <f aca="false">IF(H48="","",L48-K48-N48)</f>
        <v/>
      </c>
      <c r="P48" s="35" t="str">
        <f aca="false">IF(H48="","",O48/K48*10000)</f>
        <v/>
      </c>
      <c r="Q48" s="35" t="str">
        <f aca="false">IF(OR(H48="",G48=""),"",G48-P48)</f>
        <v/>
      </c>
      <c r="R48" s="36" t="str">
        <f aca="false">IF(H48="","",IF(OR(G48&lt;운용규칙!$B$8,K48&gt;운용규칙!$B$7),"위반","OK"))</f>
        <v/>
      </c>
      <c r="S48" s="28"/>
    </row>
    <row r="49" customFormat="false" ht="15" hidden="false" customHeight="false" outlineLevel="0" collapsed="false">
      <c r="A49" s="28"/>
      <c r="B49" s="29"/>
      <c r="C49" s="30"/>
      <c r="D49" s="28"/>
      <c r="E49" s="28"/>
      <c r="F49" s="28"/>
      <c r="G49" s="31"/>
      <c r="H49" s="32"/>
      <c r="I49" s="33"/>
      <c r="J49" s="33"/>
      <c r="K49" s="34" t="str">
        <f aca="false">IF(H49="","",H49*I49)</f>
        <v/>
      </c>
      <c r="L49" s="34" t="str">
        <f aca="false">IF(H49="","",H49*J49)</f>
        <v/>
      </c>
      <c r="M49" s="35" t="str">
        <f aca="false">IF(H49="","",(L49-K49)/K49*10000)</f>
        <v/>
      </c>
      <c r="N49" s="34" t="str">
        <f aca="false">IF(H49="","",K49*IF(E49="업비트",운용규칙!$B$5,운용규칙!$B$6)+L49*IF(F49="업비트",운용규칙!$B$5,운용규칙!$B$6))</f>
        <v/>
      </c>
      <c r="O49" s="34" t="str">
        <f aca="false">IF(H49="","",L49-K49-N49)</f>
        <v/>
      </c>
      <c r="P49" s="35" t="str">
        <f aca="false">IF(H49="","",O49/K49*10000)</f>
        <v/>
      </c>
      <c r="Q49" s="35" t="str">
        <f aca="false">IF(OR(H49="",G49=""),"",G49-P49)</f>
        <v/>
      </c>
      <c r="R49" s="36" t="str">
        <f aca="false">IF(H49="","",IF(OR(G49&lt;운용규칙!$B$8,K49&gt;운용규칙!$B$7),"위반","OK"))</f>
        <v/>
      </c>
      <c r="S49" s="28"/>
    </row>
    <row r="50" customFormat="false" ht="15" hidden="false" customHeight="false" outlineLevel="0" collapsed="false">
      <c r="A50" s="28"/>
      <c r="B50" s="29"/>
      <c r="C50" s="30"/>
      <c r="D50" s="28"/>
      <c r="E50" s="28"/>
      <c r="F50" s="28"/>
      <c r="G50" s="31"/>
      <c r="H50" s="32"/>
      <c r="I50" s="33"/>
      <c r="J50" s="33"/>
      <c r="K50" s="34" t="str">
        <f aca="false">IF(H50="","",H50*I50)</f>
        <v/>
      </c>
      <c r="L50" s="34" t="str">
        <f aca="false">IF(H50="","",H50*J50)</f>
        <v/>
      </c>
      <c r="M50" s="35" t="str">
        <f aca="false">IF(H50="","",(L50-K50)/K50*10000)</f>
        <v/>
      </c>
      <c r="N50" s="34" t="str">
        <f aca="false">IF(H50="","",K50*IF(E50="업비트",운용규칙!$B$5,운용규칙!$B$6)+L50*IF(F50="업비트",운용규칙!$B$5,운용규칙!$B$6))</f>
        <v/>
      </c>
      <c r="O50" s="34" t="str">
        <f aca="false">IF(H50="","",L50-K50-N50)</f>
        <v/>
      </c>
      <c r="P50" s="35" t="str">
        <f aca="false">IF(H50="","",O50/K50*10000)</f>
        <v/>
      </c>
      <c r="Q50" s="35" t="str">
        <f aca="false">IF(OR(H50="",G50=""),"",G50-P50)</f>
        <v/>
      </c>
      <c r="R50" s="36" t="str">
        <f aca="false">IF(H50="","",IF(OR(G50&lt;운용규칙!$B$8,K50&gt;운용규칙!$B$7),"위반","OK"))</f>
        <v/>
      </c>
      <c r="S50" s="28"/>
    </row>
    <row r="51" customFormat="false" ht="15" hidden="false" customHeight="false" outlineLevel="0" collapsed="false">
      <c r="A51" s="28"/>
      <c r="B51" s="29"/>
      <c r="C51" s="30"/>
      <c r="D51" s="28"/>
      <c r="E51" s="28"/>
      <c r="F51" s="28"/>
      <c r="G51" s="31"/>
      <c r="H51" s="32"/>
      <c r="I51" s="33"/>
      <c r="J51" s="33"/>
      <c r="K51" s="34" t="str">
        <f aca="false">IF(H51="","",H51*I51)</f>
        <v/>
      </c>
      <c r="L51" s="34" t="str">
        <f aca="false">IF(H51="","",H51*J51)</f>
        <v/>
      </c>
      <c r="M51" s="35" t="str">
        <f aca="false">IF(H51="","",(L51-K51)/K51*10000)</f>
        <v/>
      </c>
      <c r="N51" s="34" t="str">
        <f aca="false">IF(H51="","",K51*IF(E51="업비트",운용규칙!$B$5,운용규칙!$B$6)+L51*IF(F51="업비트",운용규칙!$B$5,운용규칙!$B$6))</f>
        <v/>
      </c>
      <c r="O51" s="34" t="str">
        <f aca="false">IF(H51="","",L51-K51-N51)</f>
        <v/>
      </c>
      <c r="P51" s="35" t="str">
        <f aca="false">IF(H51="","",O51/K51*10000)</f>
        <v/>
      </c>
      <c r="Q51" s="35" t="str">
        <f aca="false">IF(OR(H51="",G51=""),"",G51-P51)</f>
        <v/>
      </c>
      <c r="R51" s="36" t="str">
        <f aca="false">IF(H51="","",IF(OR(G51&lt;운용규칙!$B$8,K51&gt;운용규칙!$B$7),"위반","OK"))</f>
        <v/>
      </c>
      <c r="S51" s="28"/>
    </row>
    <row r="52" customFormat="false" ht="15" hidden="false" customHeight="false" outlineLevel="0" collapsed="false">
      <c r="A52" s="28"/>
      <c r="B52" s="29"/>
      <c r="C52" s="30"/>
      <c r="D52" s="28"/>
      <c r="E52" s="28"/>
      <c r="F52" s="28"/>
      <c r="G52" s="31"/>
      <c r="H52" s="32"/>
      <c r="I52" s="33"/>
      <c r="J52" s="33"/>
      <c r="K52" s="34" t="str">
        <f aca="false">IF(H52="","",H52*I52)</f>
        <v/>
      </c>
      <c r="L52" s="34" t="str">
        <f aca="false">IF(H52="","",H52*J52)</f>
        <v/>
      </c>
      <c r="M52" s="35" t="str">
        <f aca="false">IF(H52="","",(L52-K52)/K52*10000)</f>
        <v/>
      </c>
      <c r="N52" s="34" t="str">
        <f aca="false">IF(H52="","",K52*IF(E52="업비트",운용규칙!$B$5,운용규칙!$B$6)+L52*IF(F52="업비트",운용규칙!$B$5,운용규칙!$B$6))</f>
        <v/>
      </c>
      <c r="O52" s="34" t="str">
        <f aca="false">IF(H52="","",L52-K52-N52)</f>
        <v/>
      </c>
      <c r="P52" s="35" t="str">
        <f aca="false">IF(H52="","",O52/K52*10000)</f>
        <v/>
      </c>
      <c r="Q52" s="35" t="str">
        <f aca="false">IF(OR(H52="",G52=""),"",G52-P52)</f>
        <v/>
      </c>
      <c r="R52" s="36" t="str">
        <f aca="false">IF(H52="","",IF(OR(G52&lt;운용규칙!$B$8,K52&gt;운용규칙!$B$7),"위반","OK"))</f>
        <v/>
      </c>
      <c r="S52" s="28"/>
    </row>
    <row r="53" customFormat="false" ht="15" hidden="false" customHeight="false" outlineLevel="0" collapsed="false">
      <c r="A53" s="28"/>
      <c r="B53" s="29"/>
      <c r="C53" s="30"/>
      <c r="D53" s="28"/>
      <c r="E53" s="28"/>
      <c r="F53" s="28"/>
      <c r="G53" s="31"/>
      <c r="H53" s="32"/>
      <c r="I53" s="33"/>
      <c r="J53" s="33"/>
      <c r="K53" s="34" t="str">
        <f aca="false">IF(H53="","",H53*I53)</f>
        <v/>
      </c>
      <c r="L53" s="34" t="str">
        <f aca="false">IF(H53="","",H53*J53)</f>
        <v/>
      </c>
      <c r="M53" s="35" t="str">
        <f aca="false">IF(H53="","",(L53-K53)/K53*10000)</f>
        <v/>
      </c>
      <c r="N53" s="34" t="str">
        <f aca="false">IF(H53="","",K53*IF(E53="업비트",운용규칙!$B$5,운용규칙!$B$6)+L53*IF(F53="업비트",운용규칙!$B$5,운용규칙!$B$6))</f>
        <v/>
      </c>
      <c r="O53" s="34" t="str">
        <f aca="false">IF(H53="","",L53-K53-N53)</f>
        <v/>
      </c>
      <c r="P53" s="35" t="str">
        <f aca="false">IF(H53="","",O53/K53*10000)</f>
        <v/>
      </c>
      <c r="Q53" s="35" t="str">
        <f aca="false">IF(OR(H53="",G53=""),"",G53-P53)</f>
        <v/>
      </c>
      <c r="R53" s="36" t="str">
        <f aca="false">IF(H53="","",IF(OR(G53&lt;운용규칙!$B$8,K53&gt;운용규칙!$B$7),"위반","OK"))</f>
        <v/>
      </c>
      <c r="S53" s="28"/>
    </row>
    <row r="54" customFormat="false" ht="15" hidden="false" customHeight="false" outlineLevel="0" collapsed="false">
      <c r="A54" s="28"/>
      <c r="B54" s="29"/>
      <c r="C54" s="30"/>
      <c r="D54" s="28"/>
      <c r="E54" s="28"/>
      <c r="F54" s="28"/>
      <c r="G54" s="31"/>
      <c r="H54" s="32"/>
      <c r="I54" s="33"/>
      <c r="J54" s="33"/>
      <c r="K54" s="34" t="str">
        <f aca="false">IF(H54="","",H54*I54)</f>
        <v/>
      </c>
      <c r="L54" s="34" t="str">
        <f aca="false">IF(H54="","",H54*J54)</f>
        <v/>
      </c>
      <c r="M54" s="35" t="str">
        <f aca="false">IF(H54="","",(L54-K54)/K54*10000)</f>
        <v/>
      </c>
      <c r="N54" s="34" t="str">
        <f aca="false">IF(H54="","",K54*IF(E54="업비트",운용규칙!$B$5,운용규칙!$B$6)+L54*IF(F54="업비트",운용규칙!$B$5,운용규칙!$B$6))</f>
        <v/>
      </c>
      <c r="O54" s="34" t="str">
        <f aca="false">IF(H54="","",L54-K54-N54)</f>
        <v/>
      </c>
      <c r="P54" s="35" t="str">
        <f aca="false">IF(H54="","",O54/K54*10000)</f>
        <v/>
      </c>
      <c r="Q54" s="35" t="str">
        <f aca="false">IF(OR(H54="",G54=""),"",G54-P54)</f>
        <v/>
      </c>
      <c r="R54" s="36" t="str">
        <f aca="false">IF(H54="","",IF(OR(G54&lt;운용규칙!$B$8,K54&gt;운용규칙!$B$7),"위반","OK"))</f>
        <v/>
      </c>
      <c r="S54" s="28"/>
    </row>
    <row r="55" customFormat="false" ht="15" hidden="false" customHeight="false" outlineLevel="0" collapsed="false">
      <c r="A55" s="28"/>
      <c r="B55" s="29"/>
      <c r="C55" s="30"/>
      <c r="D55" s="28"/>
      <c r="E55" s="28"/>
      <c r="F55" s="28"/>
      <c r="G55" s="31"/>
      <c r="H55" s="32"/>
      <c r="I55" s="33"/>
      <c r="J55" s="33"/>
      <c r="K55" s="34" t="str">
        <f aca="false">IF(H55="","",H55*I55)</f>
        <v/>
      </c>
      <c r="L55" s="34" t="str">
        <f aca="false">IF(H55="","",H55*J55)</f>
        <v/>
      </c>
      <c r="M55" s="35" t="str">
        <f aca="false">IF(H55="","",(L55-K55)/K55*10000)</f>
        <v/>
      </c>
      <c r="N55" s="34" t="str">
        <f aca="false">IF(H55="","",K55*IF(E55="업비트",운용규칙!$B$5,운용규칙!$B$6)+L55*IF(F55="업비트",운용규칙!$B$5,운용규칙!$B$6))</f>
        <v/>
      </c>
      <c r="O55" s="34" t="str">
        <f aca="false">IF(H55="","",L55-K55-N55)</f>
        <v/>
      </c>
      <c r="P55" s="35" t="str">
        <f aca="false">IF(H55="","",O55/K55*10000)</f>
        <v/>
      </c>
      <c r="Q55" s="35" t="str">
        <f aca="false">IF(OR(H55="",G55=""),"",G55-P55)</f>
        <v/>
      </c>
      <c r="R55" s="36" t="str">
        <f aca="false">IF(H55="","",IF(OR(G55&lt;운용규칙!$B$8,K55&gt;운용규칙!$B$7),"위반","OK"))</f>
        <v/>
      </c>
      <c r="S55" s="28"/>
    </row>
    <row r="56" customFormat="false" ht="15" hidden="false" customHeight="false" outlineLevel="0" collapsed="false">
      <c r="A56" s="28"/>
      <c r="B56" s="29"/>
      <c r="C56" s="30"/>
      <c r="D56" s="28"/>
      <c r="E56" s="28"/>
      <c r="F56" s="28"/>
      <c r="G56" s="31"/>
      <c r="H56" s="32"/>
      <c r="I56" s="33"/>
      <c r="J56" s="33"/>
      <c r="K56" s="34" t="str">
        <f aca="false">IF(H56="","",H56*I56)</f>
        <v/>
      </c>
      <c r="L56" s="34" t="str">
        <f aca="false">IF(H56="","",H56*J56)</f>
        <v/>
      </c>
      <c r="M56" s="35" t="str">
        <f aca="false">IF(H56="","",(L56-K56)/K56*10000)</f>
        <v/>
      </c>
      <c r="N56" s="34" t="str">
        <f aca="false">IF(H56="","",K56*IF(E56="업비트",운용규칙!$B$5,운용규칙!$B$6)+L56*IF(F56="업비트",운용규칙!$B$5,운용규칙!$B$6))</f>
        <v/>
      </c>
      <c r="O56" s="34" t="str">
        <f aca="false">IF(H56="","",L56-K56-N56)</f>
        <v/>
      </c>
      <c r="P56" s="35" t="str">
        <f aca="false">IF(H56="","",O56/K56*10000)</f>
        <v/>
      </c>
      <c r="Q56" s="35" t="str">
        <f aca="false">IF(OR(H56="",G56=""),"",G56-P56)</f>
        <v/>
      </c>
      <c r="R56" s="36" t="str">
        <f aca="false">IF(H56="","",IF(OR(G56&lt;운용규칙!$B$8,K56&gt;운용규칙!$B$7),"위반","OK"))</f>
        <v/>
      </c>
      <c r="S56" s="28"/>
    </row>
    <row r="57" customFormat="false" ht="15" hidden="false" customHeight="false" outlineLevel="0" collapsed="false">
      <c r="A57" s="28"/>
      <c r="B57" s="29"/>
      <c r="C57" s="30"/>
      <c r="D57" s="28"/>
      <c r="E57" s="28"/>
      <c r="F57" s="28"/>
      <c r="G57" s="31"/>
      <c r="H57" s="32"/>
      <c r="I57" s="33"/>
      <c r="J57" s="33"/>
      <c r="K57" s="34" t="str">
        <f aca="false">IF(H57="","",H57*I57)</f>
        <v/>
      </c>
      <c r="L57" s="34" t="str">
        <f aca="false">IF(H57="","",H57*J57)</f>
        <v/>
      </c>
      <c r="M57" s="35" t="str">
        <f aca="false">IF(H57="","",(L57-K57)/K57*10000)</f>
        <v/>
      </c>
      <c r="N57" s="34" t="str">
        <f aca="false">IF(H57="","",K57*IF(E57="업비트",운용규칙!$B$5,운용규칙!$B$6)+L57*IF(F57="업비트",운용규칙!$B$5,운용규칙!$B$6))</f>
        <v/>
      </c>
      <c r="O57" s="34" t="str">
        <f aca="false">IF(H57="","",L57-K57-N57)</f>
        <v/>
      </c>
      <c r="P57" s="35" t="str">
        <f aca="false">IF(H57="","",O57/K57*10000)</f>
        <v/>
      </c>
      <c r="Q57" s="35" t="str">
        <f aca="false">IF(OR(H57="",G57=""),"",G57-P57)</f>
        <v/>
      </c>
      <c r="R57" s="36" t="str">
        <f aca="false">IF(H57="","",IF(OR(G57&lt;운용규칙!$B$8,K57&gt;운용규칙!$B$7),"위반","OK"))</f>
        <v/>
      </c>
      <c r="S57" s="28"/>
    </row>
    <row r="58" customFormat="false" ht="15" hidden="false" customHeight="false" outlineLevel="0" collapsed="false">
      <c r="A58" s="28"/>
      <c r="B58" s="29"/>
      <c r="C58" s="30"/>
      <c r="D58" s="28"/>
      <c r="E58" s="28"/>
      <c r="F58" s="28"/>
      <c r="G58" s="31"/>
      <c r="H58" s="32"/>
      <c r="I58" s="33"/>
      <c r="J58" s="33"/>
      <c r="K58" s="34" t="str">
        <f aca="false">IF(H58="","",H58*I58)</f>
        <v/>
      </c>
      <c r="L58" s="34" t="str">
        <f aca="false">IF(H58="","",H58*J58)</f>
        <v/>
      </c>
      <c r="M58" s="35" t="str">
        <f aca="false">IF(H58="","",(L58-K58)/K58*10000)</f>
        <v/>
      </c>
      <c r="N58" s="34" t="str">
        <f aca="false">IF(H58="","",K58*IF(E58="업비트",운용규칙!$B$5,운용규칙!$B$6)+L58*IF(F58="업비트",운용규칙!$B$5,운용규칙!$B$6))</f>
        <v/>
      </c>
      <c r="O58" s="34" t="str">
        <f aca="false">IF(H58="","",L58-K58-N58)</f>
        <v/>
      </c>
      <c r="P58" s="35" t="str">
        <f aca="false">IF(H58="","",O58/K58*10000)</f>
        <v/>
      </c>
      <c r="Q58" s="35" t="str">
        <f aca="false">IF(OR(H58="",G58=""),"",G58-P58)</f>
        <v/>
      </c>
      <c r="R58" s="36" t="str">
        <f aca="false">IF(H58="","",IF(OR(G58&lt;운용규칙!$B$8,K58&gt;운용규칙!$B$7),"위반","OK"))</f>
        <v/>
      </c>
      <c r="S58" s="28"/>
    </row>
    <row r="59" customFormat="false" ht="15" hidden="false" customHeight="false" outlineLevel="0" collapsed="false">
      <c r="A59" s="28"/>
      <c r="B59" s="29"/>
      <c r="C59" s="30"/>
      <c r="D59" s="28"/>
      <c r="E59" s="28"/>
      <c r="F59" s="28"/>
      <c r="G59" s="31"/>
      <c r="H59" s="32"/>
      <c r="I59" s="33"/>
      <c r="J59" s="33"/>
      <c r="K59" s="34" t="str">
        <f aca="false">IF(H59="","",H59*I59)</f>
        <v/>
      </c>
      <c r="L59" s="34" t="str">
        <f aca="false">IF(H59="","",H59*J59)</f>
        <v/>
      </c>
      <c r="M59" s="35" t="str">
        <f aca="false">IF(H59="","",(L59-K59)/K59*10000)</f>
        <v/>
      </c>
      <c r="N59" s="34" t="str">
        <f aca="false">IF(H59="","",K59*IF(E59="업비트",운용규칙!$B$5,운용규칙!$B$6)+L59*IF(F59="업비트",운용규칙!$B$5,운용규칙!$B$6))</f>
        <v/>
      </c>
      <c r="O59" s="34" t="str">
        <f aca="false">IF(H59="","",L59-K59-N59)</f>
        <v/>
      </c>
      <c r="P59" s="35" t="str">
        <f aca="false">IF(H59="","",O59/K59*10000)</f>
        <v/>
      </c>
      <c r="Q59" s="35" t="str">
        <f aca="false">IF(OR(H59="",G59=""),"",G59-P59)</f>
        <v/>
      </c>
      <c r="R59" s="36" t="str">
        <f aca="false">IF(H59="","",IF(OR(G59&lt;운용규칙!$B$8,K59&gt;운용규칙!$B$7),"위반","OK"))</f>
        <v/>
      </c>
      <c r="S59" s="28"/>
    </row>
    <row r="60" customFormat="false" ht="15" hidden="false" customHeight="false" outlineLevel="0" collapsed="false">
      <c r="A60" s="28"/>
      <c r="B60" s="29"/>
      <c r="C60" s="30"/>
      <c r="D60" s="28"/>
      <c r="E60" s="28"/>
      <c r="F60" s="28"/>
      <c r="G60" s="31"/>
      <c r="H60" s="32"/>
      <c r="I60" s="33"/>
      <c r="J60" s="33"/>
      <c r="K60" s="34" t="str">
        <f aca="false">IF(H60="","",H60*I60)</f>
        <v/>
      </c>
      <c r="L60" s="34" t="str">
        <f aca="false">IF(H60="","",H60*J60)</f>
        <v/>
      </c>
      <c r="M60" s="35" t="str">
        <f aca="false">IF(H60="","",(L60-K60)/K60*10000)</f>
        <v/>
      </c>
      <c r="N60" s="34" t="str">
        <f aca="false">IF(H60="","",K60*IF(E60="업비트",운용규칙!$B$5,운용규칙!$B$6)+L60*IF(F60="업비트",운용규칙!$B$5,운용규칙!$B$6))</f>
        <v/>
      </c>
      <c r="O60" s="34" t="str">
        <f aca="false">IF(H60="","",L60-K60-N60)</f>
        <v/>
      </c>
      <c r="P60" s="35" t="str">
        <f aca="false">IF(H60="","",O60/K60*10000)</f>
        <v/>
      </c>
      <c r="Q60" s="35" t="str">
        <f aca="false">IF(OR(H60="",G60=""),"",G60-P60)</f>
        <v/>
      </c>
      <c r="R60" s="36" t="str">
        <f aca="false">IF(H60="","",IF(OR(G60&lt;운용규칙!$B$8,K60&gt;운용규칙!$B$7),"위반","OK"))</f>
        <v/>
      </c>
      <c r="S60" s="28"/>
    </row>
    <row r="61" customFormat="false" ht="15" hidden="false" customHeight="false" outlineLevel="0" collapsed="false">
      <c r="A61" s="28"/>
      <c r="B61" s="29"/>
      <c r="C61" s="30"/>
      <c r="D61" s="28"/>
      <c r="E61" s="28"/>
      <c r="F61" s="28"/>
      <c r="G61" s="31"/>
      <c r="H61" s="32"/>
      <c r="I61" s="33"/>
      <c r="J61" s="33"/>
      <c r="K61" s="34" t="str">
        <f aca="false">IF(H61="","",H61*I61)</f>
        <v/>
      </c>
      <c r="L61" s="34" t="str">
        <f aca="false">IF(H61="","",H61*J61)</f>
        <v/>
      </c>
      <c r="M61" s="35" t="str">
        <f aca="false">IF(H61="","",(L61-K61)/K61*10000)</f>
        <v/>
      </c>
      <c r="N61" s="34" t="str">
        <f aca="false">IF(H61="","",K61*IF(E61="업비트",운용규칙!$B$5,운용규칙!$B$6)+L61*IF(F61="업비트",운용규칙!$B$5,운용규칙!$B$6))</f>
        <v/>
      </c>
      <c r="O61" s="34" t="str">
        <f aca="false">IF(H61="","",L61-K61-N61)</f>
        <v/>
      </c>
      <c r="P61" s="35" t="str">
        <f aca="false">IF(H61="","",O61/K61*10000)</f>
        <v/>
      </c>
      <c r="Q61" s="35" t="str">
        <f aca="false">IF(OR(H61="",G61=""),"",G61-P61)</f>
        <v/>
      </c>
      <c r="R61" s="36" t="str">
        <f aca="false">IF(H61="","",IF(OR(G61&lt;운용규칙!$B$8,K61&gt;운용규칙!$B$7),"위반","OK"))</f>
        <v/>
      </c>
      <c r="S61" s="28"/>
    </row>
    <row r="62" customFormat="false" ht="15" hidden="false" customHeight="false" outlineLevel="0" collapsed="false">
      <c r="A62" s="28"/>
      <c r="B62" s="29"/>
      <c r="C62" s="30"/>
      <c r="D62" s="28"/>
      <c r="E62" s="28"/>
      <c r="F62" s="28"/>
      <c r="G62" s="31"/>
      <c r="H62" s="32"/>
      <c r="I62" s="33"/>
      <c r="J62" s="33"/>
      <c r="K62" s="34" t="str">
        <f aca="false">IF(H62="","",H62*I62)</f>
        <v/>
      </c>
      <c r="L62" s="34" t="str">
        <f aca="false">IF(H62="","",H62*J62)</f>
        <v/>
      </c>
      <c r="M62" s="35" t="str">
        <f aca="false">IF(H62="","",(L62-K62)/K62*10000)</f>
        <v/>
      </c>
      <c r="N62" s="34" t="str">
        <f aca="false">IF(H62="","",K62*IF(E62="업비트",운용규칙!$B$5,운용규칙!$B$6)+L62*IF(F62="업비트",운용규칙!$B$5,운용규칙!$B$6))</f>
        <v/>
      </c>
      <c r="O62" s="34" t="str">
        <f aca="false">IF(H62="","",L62-K62-N62)</f>
        <v/>
      </c>
      <c r="P62" s="35" t="str">
        <f aca="false">IF(H62="","",O62/K62*10000)</f>
        <v/>
      </c>
      <c r="Q62" s="35" t="str">
        <f aca="false">IF(OR(H62="",G62=""),"",G62-P62)</f>
        <v/>
      </c>
      <c r="R62" s="36" t="str">
        <f aca="false">IF(H62="","",IF(OR(G62&lt;운용규칙!$B$8,K62&gt;운용규칙!$B$7),"위반","OK"))</f>
        <v/>
      </c>
      <c r="S62" s="28"/>
    </row>
    <row r="63" customFormat="false" ht="15" hidden="false" customHeight="false" outlineLevel="0" collapsed="false">
      <c r="A63" s="28"/>
      <c r="B63" s="29"/>
      <c r="C63" s="30"/>
      <c r="D63" s="28"/>
      <c r="E63" s="28"/>
      <c r="F63" s="28"/>
      <c r="G63" s="31"/>
      <c r="H63" s="32"/>
      <c r="I63" s="33"/>
      <c r="J63" s="33"/>
      <c r="K63" s="34" t="str">
        <f aca="false">IF(H63="","",H63*I63)</f>
        <v/>
      </c>
      <c r="L63" s="34" t="str">
        <f aca="false">IF(H63="","",H63*J63)</f>
        <v/>
      </c>
      <c r="M63" s="35" t="str">
        <f aca="false">IF(H63="","",(L63-K63)/K63*10000)</f>
        <v/>
      </c>
      <c r="N63" s="34" t="str">
        <f aca="false">IF(H63="","",K63*IF(E63="업비트",운용규칙!$B$5,운용규칙!$B$6)+L63*IF(F63="업비트",운용규칙!$B$5,운용규칙!$B$6))</f>
        <v/>
      </c>
      <c r="O63" s="34" t="str">
        <f aca="false">IF(H63="","",L63-K63-N63)</f>
        <v/>
      </c>
      <c r="P63" s="35" t="str">
        <f aca="false">IF(H63="","",O63/K63*10000)</f>
        <v/>
      </c>
      <c r="Q63" s="35" t="str">
        <f aca="false">IF(OR(H63="",G63=""),"",G63-P63)</f>
        <v/>
      </c>
      <c r="R63" s="36" t="str">
        <f aca="false">IF(H63="","",IF(OR(G63&lt;운용규칙!$B$8,K63&gt;운용규칙!$B$7),"위반","OK"))</f>
        <v/>
      </c>
      <c r="S63" s="28"/>
    </row>
    <row r="64" customFormat="false" ht="15" hidden="false" customHeight="false" outlineLevel="0" collapsed="false">
      <c r="A64" s="28"/>
      <c r="B64" s="29"/>
      <c r="C64" s="30"/>
      <c r="D64" s="28"/>
      <c r="E64" s="28"/>
      <c r="F64" s="28"/>
      <c r="G64" s="31"/>
      <c r="H64" s="32"/>
      <c r="I64" s="33"/>
      <c r="J64" s="33"/>
      <c r="K64" s="34" t="str">
        <f aca="false">IF(H64="","",H64*I64)</f>
        <v/>
      </c>
      <c r="L64" s="34" t="str">
        <f aca="false">IF(H64="","",H64*J64)</f>
        <v/>
      </c>
      <c r="M64" s="35" t="str">
        <f aca="false">IF(H64="","",(L64-K64)/K64*10000)</f>
        <v/>
      </c>
      <c r="N64" s="34" t="str">
        <f aca="false">IF(H64="","",K64*IF(E64="업비트",운용규칙!$B$5,운용규칙!$B$6)+L64*IF(F64="업비트",운용규칙!$B$5,운용규칙!$B$6))</f>
        <v/>
      </c>
      <c r="O64" s="34" t="str">
        <f aca="false">IF(H64="","",L64-K64-N64)</f>
        <v/>
      </c>
      <c r="P64" s="35" t="str">
        <f aca="false">IF(H64="","",O64/K64*10000)</f>
        <v/>
      </c>
      <c r="Q64" s="35" t="str">
        <f aca="false">IF(OR(H64="",G64=""),"",G64-P64)</f>
        <v/>
      </c>
      <c r="R64" s="36" t="str">
        <f aca="false">IF(H64="","",IF(OR(G64&lt;운용규칙!$B$8,K64&gt;운용규칙!$B$7),"위반","OK"))</f>
        <v/>
      </c>
      <c r="S64" s="28"/>
    </row>
    <row r="65" customFormat="false" ht="15" hidden="false" customHeight="false" outlineLevel="0" collapsed="false">
      <c r="A65" s="28"/>
      <c r="B65" s="29"/>
      <c r="C65" s="30"/>
      <c r="D65" s="28"/>
      <c r="E65" s="28"/>
      <c r="F65" s="28"/>
      <c r="G65" s="31"/>
      <c r="H65" s="32"/>
      <c r="I65" s="33"/>
      <c r="J65" s="33"/>
      <c r="K65" s="34" t="str">
        <f aca="false">IF(H65="","",H65*I65)</f>
        <v/>
      </c>
      <c r="L65" s="34" t="str">
        <f aca="false">IF(H65="","",H65*J65)</f>
        <v/>
      </c>
      <c r="M65" s="35" t="str">
        <f aca="false">IF(H65="","",(L65-K65)/K65*10000)</f>
        <v/>
      </c>
      <c r="N65" s="34" t="str">
        <f aca="false">IF(H65="","",K65*IF(E65="업비트",운용규칙!$B$5,운용규칙!$B$6)+L65*IF(F65="업비트",운용규칙!$B$5,운용규칙!$B$6))</f>
        <v/>
      </c>
      <c r="O65" s="34" t="str">
        <f aca="false">IF(H65="","",L65-K65-N65)</f>
        <v/>
      </c>
      <c r="P65" s="35" t="str">
        <f aca="false">IF(H65="","",O65/K65*10000)</f>
        <v/>
      </c>
      <c r="Q65" s="35" t="str">
        <f aca="false">IF(OR(H65="",G65=""),"",G65-P65)</f>
        <v/>
      </c>
      <c r="R65" s="36" t="str">
        <f aca="false">IF(H65="","",IF(OR(G65&lt;운용규칙!$B$8,K65&gt;운용규칙!$B$7),"위반","OK"))</f>
        <v/>
      </c>
      <c r="S65" s="28"/>
    </row>
    <row r="66" customFormat="false" ht="15" hidden="false" customHeight="false" outlineLevel="0" collapsed="false">
      <c r="A66" s="28"/>
      <c r="B66" s="29"/>
      <c r="C66" s="30"/>
      <c r="D66" s="28"/>
      <c r="E66" s="28"/>
      <c r="F66" s="28"/>
      <c r="G66" s="31"/>
      <c r="H66" s="32"/>
      <c r="I66" s="33"/>
      <c r="J66" s="33"/>
      <c r="K66" s="34" t="str">
        <f aca="false">IF(H66="","",H66*I66)</f>
        <v/>
      </c>
      <c r="L66" s="34" t="str">
        <f aca="false">IF(H66="","",H66*J66)</f>
        <v/>
      </c>
      <c r="M66" s="35" t="str">
        <f aca="false">IF(H66="","",(L66-K66)/K66*10000)</f>
        <v/>
      </c>
      <c r="N66" s="34" t="str">
        <f aca="false">IF(H66="","",K66*IF(E66="업비트",운용규칙!$B$5,운용규칙!$B$6)+L66*IF(F66="업비트",운용규칙!$B$5,운용규칙!$B$6))</f>
        <v/>
      </c>
      <c r="O66" s="34" t="str">
        <f aca="false">IF(H66="","",L66-K66-N66)</f>
        <v/>
      </c>
      <c r="P66" s="35" t="str">
        <f aca="false">IF(H66="","",O66/K66*10000)</f>
        <v/>
      </c>
      <c r="Q66" s="35" t="str">
        <f aca="false">IF(OR(H66="",G66=""),"",G66-P66)</f>
        <v/>
      </c>
      <c r="R66" s="36" t="str">
        <f aca="false">IF(H66="","",IF(OR(G66&lt;운용규칙!$B$8,K66&gt;운용규칙!$B$7),"위반","OK"))</f>
        <v/>
      </c>
      <c r="S66" s="28"/>
    </row>
    <row r="67" customFormat="false" ht="15" hidden="false" customHeight="false" outlineLevel="0" collapsed="false">
      <c r="A67" s="28"/>
      <c r="B67" s="29"/>
      <c r="C67" s="30"/>
      <c r="D67" s="28"/>
      <c r="E67" s="28"/>
      <c r="F67" s="28"/>
      <c r="G67" s="31"/>
      <c r="H67" s="32"/>
      <c r="I67" s="33"/>
      <c r="J67" s="33"/>
      <c r="K67" s="34" t="str">
        <f aca="false">IF(H67="","",H67*I67)</f>
        <v/>
      </c>
      <c r="L67" s="34" t="str">
        <f aca="false">IF(H67="","",H67*J67)</f>
        <v/>
      </c>
      <c r="M67" s="35" t="str">
        <f aca="false">IF(H67="","",(L67-K67)/K67*10000)</f>
        <v/>
      </c>
      <c r="N67" s="34" t="str">
        <f aca="false">IF(H67="","",K67*IF(E67="업비트",운용규칙!$B$5,운용규칙!$B$6)+L67*IF(F67="업비트",운용규칙!$B$5,운용규칙!$B$6))</f>
        <v/>
      </c>
      <c r="O67" s="34" t="str">
        <f aca="false">IF(H67="","",L67-K67-N67)</f>
        <v/>
      </c>
      <c r="P67" s="35" t="str">
        <f aca="false">IF(H67="","",O67/K67*10000)</f>
        <v/>
      </c>
      <c r="Q67" s="35" t="str">
        <f aca="false">IF(OR(H67="",G67=""),"",G67-P67)</f>
        <v/>
      </c>
      <c r="R67" s="36" t="str">
        <f aca="false">IF(H67="","",IF(OR(G67&lt;운용규칙!$B$8,K67&gt;운용규칙!$B$7),"위반","OK"))</f>
        <v/>
      </c>
      <c r="S67" s="28"/>
    </row>
    <row r="68" customFormat="false" ht="15" hidden="false" customHeight="false" outlineLevel="0" collapsed="false">
      <c r="A68" s="28"/>
      <c r="B68" s="29"/>
      <c r="C68" s="30"/>
      <c r="D68" s="28"/>
      <c r="E68" s="28"/>
      <c r="F68" s="28"/>
      <c r="G68" s="31"/>
      <c r="H68" s="32"/>
      <c r="I68" s="33"/>
      <c r="J68" s="33"/>
      <c r="K68" s="34" t="str">
        <f aca="false">IF(H68="","",H68*I68)</f>
        <v/>
      </c>
      <c r="L68" s="34" t="str">
        <f aca="false">IF(H68="","",H68*J68)</f>
        <v/>
      </c>
      <c r="M68" s="35" t="str">
        <f aca="false">IF(H68="","",(L68-K68)/K68*10000)</f>
        <v/>
      </c>
      <c r="N68" s="34" t="str">
        <f aca="false">IF(H68="","",K68*IF(E68="업비트",운용규칙!$B$5,운용규칙!$B$6)+L68*IF(F68="업비트",운용규칙!$B$5,운용규칙!$B$6))</f>
        <v/>
      </c>
      <c r="O68" s="34" t="str">
        <f aca="false">IF(H68="","",L68-K68-N68)</f>
        <v/>
      </c>
      <c r="P68" s="35" t="str">
        <f aca="false">IF(H68="","",O68/K68*10000)</f>
        <v/>
      </c>
      <c r="Q68" s="35" t="str">
        <f aca="false">IF(OR(H68="",G68=""),"",G68-P68)</f>
        <v/>
      </c>
      <c r="R68" s="36" t="str">
        <f aca="false">IF(H68="","",IF(OR(G68&lt;운용규칙!$B$8,K68&gt;운용규칙!$B$7),"위반","OK"))</f>
        <v/>
      </c>
      <c r="S68" s="28"/>
    </row>
    <row r="69" customFormat="false" ht="15" hidden="false" customHeight="false" outlineLevel="0" collapsed="false">
      <c r="A69" s="28"/>
      <c r="B69" s="29"/>
      <c r="C69" s="30"/>
      <c r="D69" s="28"/>
      <c r="E69" s="28"/>
      <c r="F69" s="28"/>
      <c r="G69" s="31"/>
      <c r="H69" s="32"/>
      <c r="I69" s="33"/>
      <c r="J69" s="33"/>
      <c r="K69" s="34" t="str">
        <f aca="false">IF(H69="","",H69*I69)</f>
        <v/>
      </c>
      <c r="L69" s="34" t="str">
        <f aca="false">IF(H69="","",H69*J69)</f>
        <v/>
      </c>
      <c r="M69" s="35" t="str">
        <f aca="false">IF(H69="","",(L69-K69)/K69*10000)</f>
        <v/>
      </c>
      <c r="N69" s="34" t="str">
        <f aca="false">IF(H69="","",K69*IF(E69="업비트",운용규칙!$B$5,운용규칙!$B$6)+L69*IF(F69="업비트",운용규칙!$B$5,운용규칙!$B$6))</f>
        <v/>
      </c>
      <c r="O69" s="34" t="str">
        <f aca="false">IF(H69="","",L69-K69-N69)</f>
        <v/>
      </c>
      <c r="P69" s="35" t="str">
        <f aca="false">IF(H69="","",O69/K69*10000)</f>
        <v/>
      </c>
      <c r="Q69" s="35" t="str">
        <f aca="false">IF(OR(H69="",G69=""),"",G69-P69)</f>
        <v/>
      </c>
      <c r="R69" s="36" t="str">
        <f aca="false">IF(H69="","",IF(OR(G69&lt;운용규칙!$B$8,K69&gt;운용규칙!$B$7),"위반","OK"))</f>
        <v/>
      </c>
      <c r="S69" s="28"/>
    </row>
    <row r="70" customFormat="false" ht="15" hidden="false" customHeight="false" outlineLevel="0" collapsed="false">
      <c r="A70" s="28"/>
      <c r="B70" s="29"/>
      <c r="C70" s="30"/>
      <c r="D70" s="28"/>
      <c r="E70" s="28"/>
      <c r="F70" s="28"/>
      <c r="G70" s="31"/>
      <c r="H70" s="32"/>
      <c r="I70" s="33"/>
      <c r="J70" s="33"/>
      <c r="K70" s="34" t="str">
        <f aca="false">IF(H70="","",H70*I70)</f>
        <v/>
      </c>
      <c r="L70" s="34" t="str">
        <f aca="false">IF(H70="","",H70*J70)</f>
        <v/>
      </c>
      <c r="M70" s="35" t="str">
        <f aca="false">IF(H70="","",(L70-K70)/K70*10000)</f>
        <v/>
      </c>
      <c r="N70" s="34" t="str">
        <f aca="false">IF(H70="","",K70*IF(E70="업비트",운용규칙!$B$5,운용규칙!$B$6)+L70*IF(F70="업비트",운용규칙!$B$5,운용규칙!$B$6))</f>
        <v/>
      </c>
      <c r="O70" s="34" t="str">
        <f aca="false">IF(H70="","",L70-K70-N70)</f>
        <v/>
      </c>
      <c r="P70" s="35" t="str">
        <f aca="false">IF(H70="","",O70/K70*10000)</f>
        <v/>
      </c>
      <c r="Q70" s="35" t="str">
        <f aca="false">IF(OR(H70="",G70=""),"",G70-P70)</f>
        <v/>
      </c>
      <c r="R70" s="36" t="str">
        <f aca="false">IF(H70="","",IF(OR(G70&lt;운용규칙!$B$8,K70&gt;운용규칙!$B$7),"위반","OK"))</f>
        <v/>
      </c>
      <c r="S70" s="28"/>
    </row>
    <row r="71" customFormat="false" ht="15" hidden="false" customHeight="false" outlineLevel="0" collapsed="false">
      <c r="A71" s="28"/>
      <c r="B71" s="29"/>
      <c r="C71" s="30"/>
      <c r="D71" s="28"/>
      <c r="E71" s="28"/>
      <c r="F71" s="28"/>
      <c r="G71" s="31"/>
      <c r="H71" s="32"/>
      <c r="I71" s="33"/>
      <c r="J71" s="33"/>
      <c r="K71" s="34" t="str">
        <f aca="false">IF(H71="","",H71*I71)</f>
        <v/>
      </c>
      <c r="L71" s="34" t="str">
        <f aca="false">IF(H71="","",H71*J71)</f>
        <v/>
      </c>
      <c r="M71" s="35" t="str">
        <f aca="false">IF(H71="","",(L71-K71)/K71*10000)</f>
        <v/>
      </c>
      <c r="N71" s="34" t="str">
        <f aca="false">IF(H71="","",K71*IF(E71="업비트",운용규칙!$B$5,운용규칙!$B$6)+L71*IF(F71="업비트",운용규칙!$B$5,운용규칙!$B$6))</f>
        <v/>
      </c>
      <c r="O71" s="34" t="str">
        <f aca="false">IF(H71="","",L71-K71-N71)</f>
        <v/>
      </c>
      <c r="P71" s="35" t="str">
        <f aca="false">IF(H71="","",O71/K71*10000)</f>
        <v/>
      </c>
      <c r="Q71" s="35" t="str">
        <f aca="false">IF(OR(H71="",G71=""),"",G71-P71)</f>
        <v/>
      </c>
      <c r="R71" s="36" t="str">
        <f aca="false">IF(H71="","",IF(OR(G71&lt;운용규칙!$B$8,K71&gt;운용규칙!$B$7),"위반","OK"))</f>
        <v/>
      </c>
      <c r="S71" s="28"/>
    </row>
    <row r="72" customFormat="false" ht="15" hidden="false" customHeight="false" outlineLevel="0" collapsed="false">
      <c r="A72" s="28"/>
      <c r="B72" s="29"/>
      <c r="C72" s="30"/>
      <c r="D72" s="28"/>
      <c r="E72" s="28"/>
      <c r="F72" s="28"/>
      <c r="G72" s="31"/>
      <c r="H72" s="32"/>
      <c r="I72" s="33"/>
      <c r="J72" s="33"/>
      <c r="K72" s="34" t="str">
        <f aca="false">IF(H72="","",H72*I72)</f>
        <v/>
      </c>
      <c r="L72" s="34" t="str">
        <f aca="false">IF(H72="","",H72*J72)</f>
        <v/>
      </c>
      <c r="M72" s="35" t="str">
        <f aca="false">IF(H72="","",(L72-K72)/K72*10000)</f>
        <v/>
      </c>
      <c r="N72" s="34" t="str">
        <f aca="false">IF(H72="","",K72*IF(E72="업비트",운용규칙!$B$5,운용규칙!$B$6)+L72*IF(F72="업비트",운용규칙!$B$5,운용규칙!$B$6))</f>
        <v/>
      </c>
      <c r="O72" s="34" t="str">
        <f aca="false">IF(H72="","",L72-K72-N72)</f>
        <v/>
      </c>
      <c r="P72" s="35" t="str">
        <f aca="false">IF(H72="","",O72/K72*10000)</f>
        <v/>
      </c>
      <c r="Q72" s="35" t="str">
        <f aca="false">IF(OR(H72="",G72=""),"",G72-P72)</f>
        <v/>
      </c>
      <c r="R72" s="36" t="str">
        <f aca="false">IF(H72="","",IF(OR(G72&lt;운용규칙!$B$8,K72&gt;운용규칙!$B$7),"위반","OK"))</f>
        <v/>
      </c>
      <c r="S72" s="28"/>
    </row>
    <row r="73" customFormat="false" ht="15" hidden="false" customHeight="false" outlineLevel="0" collapsed="false">
      <c r="A73" s="28"/>
      <c r="B73" s="29"/>
      <c r="C73" s="30"/>
      <c r="D73" s="28"/>
      <c r="E73" s="28"/>
      <c r="F73" s="28"/>
      <c r="G73" s="31"/>
      <c r="H73" s="32"/>
      <c r="I73" s="33"/>
      <c r="J73" s="33"/>
      <c r="K73" s="34" t="str">
        <f aca="false">IF(H73="","",H73*I73)</f>
        <v/>
      </c>
      <c r="L73" s="34" t="str">
        <f aca="false">IF(H73="","",H73*J73)</f>
        <v/>
      </c>
      <c r="M73" s="35" t="str">
        <f aca="false">IF(H73="","",(L73-K73)/K73*10000)</f>
        <v/>
      </c>
      <c r="N73" s="34" t="str">
        <f aca="false">IF(H73="","",K73*IF(E73="업비트",운용규칙!$B$5,운용규칙!$B$6)+L73*IF(F73="업비트",운용규칙!$B$5,운용규칙!$B$6))</f>
        <v/>
      </c>
      <c r="O73" s="34" t="str">
        <f aca="false">IF(H73="","",L73-K73-N73)</f>
        <v/>
      </c>
      <c r="P73" s="35" t="str">
        <f aca="false">IF(H73="","",O73/K73*10000)</f>
        <v/>
      </c>
      <c r="Q73" s="35" t="str">
        <f aca="false">IF(OR(H73="",G73=""),"",G73-P73)</f>
        <v/>
      </c>
      <c r="R73" s="36" t="str">
        <f aca="false">IF(H73="","",IF(OR(G73&lt;운용규칙!$B$8,K73&gt;운용규칙!$B$7),"위반","OK"))</f>
        <v/>
      </c>
      <c r="S73" s="28"/>
    </row>
    <row r="74" customFormat="false" ht="15" hidden="false" customHeight="false" outlineLevel="0" collapsed="false">
      <c r="A74" s="28"/>
      <c r="B74" s="29"/>
      <c r="C74" s="30"/>
      <c r="D74" s="28"/>
      <c r="E74" s="28"/>
      <c r="F74" s="28"/>
      <c r="G74" s="31"/>
      <c r="H74" s="32"/>
      <c r="I74" s="33"/>
      <c r="J74" s="33"/>
      <c r="K74" s="34" t="str">
        <f aca="false">IF(H74="","",H74*I74)</f>
        <v/>
      </c>
      <c r="L74" s="34" t="str">
        <f aca="false">IF(H74="","",H74*J74)</f>
        <v/>
      </c>
      <c r="M74" s="35" t="str">
        <f aca="false">IF(H74="","",(L74-K74)/K74*10000)</f>
        <v/>
      </c>
      <c r="N74" s="34" t="str">
        <f aca="false">IF(H74="","",K74*IF(E74="업비트",운용규칙!$B$5,운용규칙!$B$6)+L74*IF(F74="업비트",운용규칙!$B$5,운용규칙!$B$6))</f>
        <v/>
      </c>
      <c r="O74" s="34" t="str">
        <f aca="false">IF(H74="","",L74-K74-N74)</f>
        <v/>
      </c>
      <c r="P74" s="35" t="str">
        <f aca="false">IF(H74="","",O74/K74*10000)</f>
        <v/>
      </c>
      <c r="Q74" s="35" t="str">
        <f aca="false">IF(OR(H74="",G74=""),"",G74-P74)</f>
        <v/>
      </c>
      <c r="R74" s="36" t="str">
        <f aca="false">IF(H74="","",IF(OR(G74&lt;운용규칙!$B$8,K74&gt;운용규칙!$B$7),"위반","OK"))</f>
        <v/>
      </c>
      <c r="S74" s="28"/>
    </row>
    <row r="75" customFormat="false" ht="15" hidden="false" customHeight="false" outlineLevel="0" collapsed="false">
      <c r="A75" s="28"/>
      <c r="B75" s="29"/>
      <c r="C75" s="30"/>
      <c r="D75" s="28"/>
      <c r="E75" s="28"/>
      <c r="F75" s="28"/>
      <c r="G75" s="31"/>
      <c r="H75" s="32"/>
      <c r="I75" s="33"/>
      <c r="J75" s="33"/>
      <c r="K75" s="34" t="str">
        <f aca="false">IF(H75="","",H75*I75)</f>
        <v/>
      </c>
      <c r="L75" s="34" t="str">
        <f aca="false">IF(H75="","",H75*J75)</f>
        <v/>
      </c>
      <c r="M75" s="35" t="str">
        <f aca="false">IF(H75="","",(L75-K75)/K75*10000)</f>
        <v/>
      </c>
      <c r="N75" s="34" t="str">
        <f aca="false">IF(H75="","",K75*IF(E75="업비트",운용규칙!$B$5,운용규칙!$B$6)+L75*IF(F75="업비트",운용규칙!$B$5,운용규칙!$B$6))</f>
        <v/>
      </c>
      <c r="O75" s="34" t="str">
        <f aca="false">IF(H75="","",L75-K75-N75)</f>
        <v/>
      </c>
      <c r="P75" s="35" t="str">
        <f aca="false">IF(H75="","",O75/K75*10000)</f>
        <v/>
      </c>
      <c r="Q75" s="35" t="str">
        <f aca="false">IF(OR(H75="",G75=""),"",G75-P75)</f>
        <v/>
      </c>
      <c r="R75" s="36" t="str">
        <f aca="false">IF(H75="","",IF(OR(G75&lt;운용규칙!$B$8,K75&gt;운용규칙!$B$7),"위반","OK"))</f>
        <v/>
      </c>
      <c r="S75" s="28"/>
    </row>
    <row r="76" customFormat="false" ht="15" hidden="false" customHeight="false" outlineLevel="0" collapsed="false">
      <c r="A76" s="28"/>
      <c r="B76" s="29"/>
      <c r="C76" s="30"/>
      <c r="D76" s="28"/>
      <c r="E76" s="28"/>
      <c r="F76" s="28"/>
      <c r="G76" s="31"/>
      <c r="H76" s="32"/>
      <c r="I76" s="33"/>
      <c r="J76" s="33"/>
      <c r="K76" s="34" t="str">
        <f aca="false">IF(H76="","",H76*I76)</f>
        <v/>
      </c>
      <c r="L76" s="34" t="str">
        <f aca="false">IF(H76="","",H76*J76)</f>
        <v/>
      </c>
      <c r="M76" s="35" t="str">
        <f aca="false">IF(H76="","",(L76-K76)/K76*10000)</f>
        <v/>
      </c>
      <c r="N76" s="34" t="str">
        <f aca="false">IF(H76="","",K76*IF(E76="업비트",운용규칙!$B$5,운용규칙!$B$6)+L76*IF(F76="업비트",운용규칙!$B$5,운용규칙!$B$6))</f>
        <v/>
      </c>
      <c r="O76" s="34" t="str">
        <f aca="false">IF(H76="","",L76-K76-N76)</f>
        <v/>
      </c>
      <c r="P76" s="35" t="str">
        <f aca="false">IF(H76="","",O76/K76*10000)</f>
        <v/>
      </c>
      <c r="Q76" s="35" t="str">
        <f aca="false">IF(OR(H76="",G76=""),"",G76-P76)</f>
        <v/>
      </c>
      <c r="R76" s="36" t="str">
        <f aca="false">IF(H76="","",IF(OR(G76&lt;운용규칙!$B$8,K76&gt;운용규칙!$B$7),"위반","OK"))</f>
        <v/>
      </c>
      <c r="S76" s="28"/>
    </row>
    <row r="77" customFormat="false" ht="15" hidden="false" customHeight="false" outlineLevel="0" collapsed="false">
      <c r="A77" s="28"/>
      <c r="B77" s="29"/>
      <c r="C77" s="30"/>
      <c r="D77" s="28"/>
      <c r="E77" s="28"/>
      <c r="F77" s="28"/>
      <c r="G77" s="31"/>
      <c r="H77" s="32"/>
      <c r="I77" s="33"/>
      <c r="J77" s="33"/>
      <c r="K77" s="34" t="str">
        <f aca="false">IF(H77="","",H77*I77)</f>
        <v/>
      </c>
      <c r="L77" s="34" t="str">
        <f aca="false">IF(H77="","",H77*J77)</f>
        <v/>
      </c>
      <c r="M77" s="35" t="str">
        <f aca="false">IF(H77="","",(L77-K77)/K77*10000)</f>
        <v/>
      </c>
      <c r="N77" s="34" t="str">
        <f aca="false">IF(H77="","",K77*IF(E77="업비트",운용규칙!$B$5,운용규칙!$B$6)+L77*IF(F77="업비트",운용규칙!$B$5,운용규칙!$B$6))</f>
        <v/>
      </c>
      <c r="O77" s="34" t="str">
        <f aca="false">IF(H77="","",L77-K77-N77)</f>
        <v/>
      </c>
      <c r="P77" s="35" t="str">
        <f aca="false">IF(H77="","",O77/K77*10000)</f>
        <v/>
      </c>
      <c r="Q77" s="35" t="str">
        <f aca="false">IF(OR(H77="",G77=""),"",G77-P77)</f>
        <v/>
      </c>
      <c r="R77" s="36" t="str">
        <f aca="false">IF(H77="","",IF(OR(G77&lt;운용규칙!$B$8,K77&gt;운용규칙!$B$7),"위반","OK"))</f>
        <v/>
      </c>
      <c r="S77" s="28"/>
    </row>
    <row r="78" customFormat="false" ht="15" hidden="false" customHeight="false" outlineLevel="0" collapsed="false">
      <c r="A78" s="28"/>
      <c r="B78" s="29"/>
      <c r="C78" s="30"/>
      <c r="D78" s="28"/>
      <c r="E78" s="28"/>
      <c r="F78" s="28"/>
      <c r="G78" s="31"/>
      <c r="H78" s="32"/>
      <c r="I78" s="33"/>
      <c r="J78" s="33"/>
      <c r="K78" s="34" t="str">
        <f aca="false">IF(H78="","",H78*I78)</f>
        <v/>
      </c>
      <c r="L78" s="34" t="str">
        <f aca="false">IF(H78="","",H78*J78)</f>
        <v/>
      </c>
      <c r="M78" s="35" t="str">
        <f aca="false">IF(H78="","",(L78-K78)/K78*10000)</f>
        <v/>
      </c>
      <c r="N78" s="34" t="str">
        <f aca="false">IF(H78="","",K78*IF(E78="업비트",운용규칙!$B$5,운용규칙!$B$6)+L78*IF(F78="업비트",운용규칙!$B$5,운용규칙!$B$6))</f>
        <v/>
      </c>
      <c r="O78" s="34" t="str">
        <f aca="false">IF(H78="","",L78-K78-N78)</f>
        <v/>
      </c>
      <c r="P78" s="35" t="str">
        <f aca="false">IF(H78="","",O78/K78*10000)</f>
        <v/>
      </c>
      <c r="Q78" s="35" t="str">
        <f aca="false">IF(OR(H78="",G78=""),"",G78-P78)</f>
        <v/>
      </c>
      <c r="R78" s="36" t="str">
        <f aca="false">IF(H78="","",IF(OR(G78&lt;운용규칙!$B$8,K78&gt;운용규칙!$B$7),"위반","OK"))</f>
        <v/>
      </c>
      <c r="S78" s="28"/>
    </row>
    <row r="79" customFormat="false" ht="15" hidden="false" customHeight="false" outlineLevel="0" collapsed="false">
      <c r="A79" s="28"/>
      <c r="B79" s="29"/>
      <c r="C79" s="30"/>
      <c r="D79" s="28"/>
      <c r="E79" s="28"/>
      <c r="F79" s="28"/>
      <c r="G79" s="31"/>
      <c r="H79" s="32"/>
      <c r="I79" s="33"/>
      <c r="J79" s="33"/>
      <c r="K79" s="34" t="str">
        <f aca="false">IF(H79="","",H79*I79)</f>
        <v/>
      </c>
      <c r="L79" s="34" t="str">
        <f aca="false">IF(H79="","",H79*J79)</f>
        <v/>
      </c>
      <c r="M79" s="35" t="str">
        <f aca="false">IF(H79="","",(L79-K79)/K79*10000)</f>
        <v/>
      </c>
      <c r="N79" s="34" t="str">
        <f aca="false">IF(H79="","",K79*IF(E79="업비트",운용규칙!$B$5,운용규칙!$B$6)+L79*IF(F79="업비트",운용규칙!$B$5,운용규칙!$B$6))</f>
        <v/>
      </c>
      <c r="O79" s="34" t="str">
        <f aca="false">IF(H79="","",L79-K79-N79)</f>
        <v/>
      </c>
      <c r="P79" s="35" t="str">
        <f aca="false">IF(H79="","",O79/K79*10000)</f>
        <v/>
      </c>
      <c r="Q79" s="35" t="str">
        <f aca="false">IF(OR(H79="",G79=""),"",G79-P79)</f>
        <v/>
      </c>
      <c r="R79" s="36" t="str">
        <f aca="false">IF(H79="","",IF(OR(G79&lt;운용규칙!$B$8,K79&gt;운용규칙!$B$7),"위반","OK"))</f>
        <v/>
      </c>
      <c r="S79" s="28"/>
    </row>
    <row r="80" customFormat="false" ht="15" hidden="false" customHeight="false" outlineLevel="0" collapsed="false">
      <c r="A80" s="28"/>
      <c r="B80" s="29"/>
      <c r="C80" s="30"/>
      <c r="D80" s="28"/>
      <c r="E80" s="28"/>
      <c r="F80" s="28"/>
      <c r="G80" s="31"/>
      <c r="H80" s="32"/>
      <c r="I80" s="33"/>
      <c r="J80" s="33"/>
      <c r="K80" s="34" t="str">
        <f aca="false">IF(H80="","",H80*I80)</f>
        <v/>
      </c>
      <c r="L80" s="34" t="str">
        <f aca="false">IF(H80="","",H80*J80)</f>
        <v/>
      </c>
      <c r="M80" s="35" t="str">
        <f aca="false">IF(H80="","",(L80-K80)/K80*10000)</f>
        <v/>
      </c>
      <c r="N80" s="34" t="str">
        <f aca="false">IF(H80="","",K80*IF(E80="업비트",운용규칙!$B$5,운용규칙!$B$6)+L80*IF(F80="업비트",운용규칙!$B$5,운용규칙!$B$6))</f>
        <v/>
      </c>
      <c r="O80" s="34" t="str">
        <f aca="false">IF(H80="","",L80-K80-N80)</f>
        <v/>
      </c>
      <c r="P80" s="35" t="str">
        <f aca="false">IF(H80="","",O80/K80*10000)</f>
        <v/>
      </c>
      <c r="Q80" s="35" t="str">
        <f aca="false">IF(OR(H80="",G80=""),"",G80-P80)</f>
        <v/>
      </c>
      <c r="R80" s="36" t="str">
        <f aca="false">IF(H80="","",IF(OR(G80&lt;운용규칙!$B$8,K80&gt;운용규칙!$B$7),"위반","OK"))</f>
        <v/>
      </c>
      <c r="S80" s="28"/>
    </row>
    <row r="81" customFormat="false" ht="15" hidden="false" customHeight="false" outlineLevel="0" collapsed="false">
      <c r="A81" s="28"/>
      <c r="B81" s="29"/>
      <c r="C81" s="30"/>
      <c r="D81" s="28"/>
      <c r="E81" s="28"/>
      <c r="F81" s="28"/>
      <c r="G81" s="31"/>
      <c r="H81" s="32"/>
      <c r="I81" s="33"/>
      <c r="J81" s="33"/>
      <c r="K81" s="34" t="str">
        <f aca="false">IF(H81="","",H81*I81)</f>
        <v/>
      </c>
      <c r="L81" s="34" t="str">
        <f aca="false">IF(H81="","",H81*J81)</f>
        <v/>
      </c>
      <c r="M81" s="35" t="str">
        <f aca="false">IF(H81="","",(L81-K81)/K81*10000)</f>
        <v/>
      </c>
      <c r="N81" s="34" t="str">
        <f aca="false">IF(H81="","",K81*IF(E81="업비트",운용규칙!$B$5,운용규칙!$B$6)+L81*IF(F81="업비트",운용규칙!$B$5,운용규칙!$B$6))</f>
        <v/>
      </c>
      <c r="O81" s="34" t="str">
        <f aca="false">IF(H81="","",L81-K81-N81)</f>
        <v/>
      </c>
      <c r="P81" s="35" t="str">
        <f aca="false">IF(H81="","",O81/K81*10000)</f>
        <v/>
      </c>
      <c r="Q81" s="35" t="str">
        <f aca="false">IF(OR(H81="",G81=""),"",G81-P81)</f>
        <v/>
      </c>
      <c r="R81" s="36" t="str">
        <f aca="false">IF(H81="","",IF(OR(G81&lt;운용규칙!$B$8,K81&gt;운용규칙!$B$7),"위반","OK"))</f>
        <v/>
      </c>
      <c r="S81" s="28"/>
    </row>
    <row r="82" customFormat="false" ht="15" hidden="false" customHeight="false" outlineLevel="0" collapsed="false">
      <c r="A82" s="28"/>
      <c r="B82" s="29"/>
      <c r="C82" s="30"/>
      <c r="D82" s="28"/>
      <c r="E82" s="28"/>
      <c r="F82" s="28"/>
      <c r="G82" s="31"/>
      <c r="H82" s="32"/>
      <c r="I82" s="33"/>
      <c r="J82" s="33"/>
      <c r="K82" s="34" t="str">
        <f aca="false">IF(H82="","",H82*I82)</f>
        <v/>
      </c>
      <c r="L82" s="34" t="str">
        <f aca="false">IF(H82="","",H82*J82)</f>
        <v/>
      </c>
      <c r="M82" s="35" t="str">
        <f aca="false">IF(H82="","",(L82-K82)/K82*10000)</f>
        <v/>
      </c>
      <c r="N82" s="34" t="str">
        <f aca="false">IF(H82="","",K82*IF(E82="업비트",운용규칙!$B$5,운용규칙!$B$6)+L82*IF(F82="업비트",운용규칙!$B$5,운용규칙!$B$6))</f>
        <v/>
      </c>
      <c r="O82" s="34" t="str">
        <f aca="false">IF(H82="","",L82-K82-N82)</f>
        <v/>
      </c>
      <c r="P82" s="35" t="str">
        <f aca="false">IF(H82="","",O82/K82*10000)</f>
        <v/>
      </c>
      <c r="Q82" s="35" t="str">
        <f aca="false">IF(OR(H82="",G82=""),"",G82-P82)</f>
        <v/>
      </c>
      <c r="R82" s="36" t="str">
        <f aca="false">IF(H82="","",IF(OR(G82&lt;운용규칙!$B$8,K82&gt;운용규칙!$B$7),"위반","OK"))</f>
        <v/>
      </c>
      <c r="S82" s="28"/>
    </row>
    <row r="83" customFormat="false" ht="15" hidden="false" customHeight="false" outlineLevel="0" collapsed="false">
      <c r="A83" s="28"/>
      <c r="B83" s="29"/>
      <c r="C83" s="30"/>
      <c r="D83" s="28"/>
      <c r="E83" s="28"/>
      <c r="F83" s="28"/>
      <c r="G83" s="31"/>
      <c r="H83" s="32"/>
      <c r="I83" s="33"/>
      <c r="J83" s="33"/>
      <c r="K83" s="34" t="str">
        <f aca="false">IF(H83="","",H83*I83)</f>
        <v/>
      </c>
      <c r="L83" s="34" t="str">
        <f aca="false">IF(H83="","",H83*J83)</f>
        <v/>
      </c>
      <c r="M83" s="35" t="str">
        <f aca="false">IF(H83="","",(L83-K83)/K83*10000)</f>
        <v/>
      </c>
      <c r="N83" s="34" t="str">
        <f aca="false">IF(H83="","",K83*IF(E83="업비트",운용규칙!$B$5,운용규칙!$B$6)+L83*IF(F83="업비트",운용규칙!$B$5,운용규칙!$B$6))</f>
        <v/>
      </c>
      <c r="O83" s="34" t="str">
        <f aca="false">IF(H83="","",L83-K83-N83)</f>
        <v/>
      </c>
      <c r="P83" s="35" t="str">
        <f aca="false">IF(H83="","",O83/K83*10000)</f>
        <v/>
      </c>
      <c r="Q83" s="35" t="str">
        <f aca="false">IF(OR(H83="",G83=""),"",G83-P83)</f>
        <v/>
      </c>
      <c r="R83" s="36" t="str">
        <f aca="false">IF(H83="","",IF(OR(G83&lt;운용규칙!$B$8,K83&gt;운용규칙!$B$7),"위반","OK"))</f>
        <v/>
      </c>
      <c r="S83" s="28"/>
    </row>
    <row r="84" customFormat="false" ht="15" hidden="false" customHeight="false" outlineLevel="0" collapsed="false">
      <c r="A84" s="28"/>
      <c r="B84" s="29"/>
      <c r="C84" s="30"/>
      <c r="D84" s="28"/>
      <c r="E84" s="28"/>
      <c r="F84" s="28"/>
      <c r="G84" s="31"/>
      <c r="H84" s="32"/>
      <c r="I84" s="33"/>
      <c r="J84" s="33"/>
      <c r="K84" s="34" t="str">
        <f aca="false">IF(H84="","",H84*I84)</f>
        <v/>
      </c>
      <c r="L84" s="34" t="str">
        <f aca="false">IF(H84="","",H84*J84)</f>
        <v/>
      </c>
      <c r="M84" s="35" t="str">
        <f aca="false">IF(H84="","",(L84-K84)/K84*10000)</f>
        <v/>
      </c>
      <c r="N84" s="34" t="str">
        <f aca="false">IF(H84="","",K84*IF(E84="업비트",운용규칙!$B$5,운용규칙!$B$6)+L84*IF(F84="업비트",운용규칙!$B$5,운용규칙!$B$6))</f>
        <v/>
      </c>
      <c r="O84" s="34" t="str">
        <f aca="false">IF(H84="","",L84-K84-N84)</f>
        <v/>
      </c>
      <c r="P84" s="35" t="str">
        <f aca="false">IF(H84="","",O84/K84*10000)</f>
        <v/>
      </c>
      <c r="Q84" s="35" t="str">
        <f aca="false">IF(OR(H84="",G84=""),"",G84-P84)</f>
        <v/>
      </c>
      <c r="R84" s="36" t="str">
        <f aca="false">IF(H84="","",IF(OR(G84&lt;운용규칙!$B$8,K84&gt;운용규칙!$B$7),"위반","OK"))</f>
        <v/>
      </c>
      <c r="S84" s="28"/>
    </row>
    <row r="85" customFormat="false" ht="15" hidden="false" customHeight="false" outlineLevel="0" collapsed="false">
      <c r="A85" s="28"/>
      <c r="B85" s="29"/>
      <c r="C85" s="30"/>
      <c r="D85" s="28"/>
      <c r="E85" s="28"/>
      <c r="F85" s="28"/>
      <c r="G85" s="31"/>
      <c r="H85" s="32"/>
      <c r="I85" s="33"/>
      <c r="J85" s="33"/>
      <c r="K85" s="34" t="str">
        <f aca="false">IF(H85="","",H85*I85)</f>
        <v/>
      </c>
      <c r="L85" s="34" t="str">
        <f aca="false">IF(H85="","",H85*J85)</f>
        <v/>
      </c>
      <c r="M85" s="35" t="str">
        <f aca="false">IF(H85="","",(L85-K85)/K85*10000)</f>
        <v/>
      </c>
      <c r="N85" s="34" t="str">
        <f aca="false">IF(H85="","",K85*IF(E85="업비트",운용규칙!$B$5,운용규칙!$B$6)+L85*IF(F85="업비트",운용규칙!$B$5,운용규칙!$B$6))</f>
        <v/>
      </c>
      <c r="O85" s="34" t="str">
        <f aca="false">IF(H85="","",L85-K85-N85)</f>
        <v/>
      </c>
      <c r="P85" s="35" t="str">
        <f aca="false">IF(H85="","",O85/K85*10000)</f>
        <v/>
      </c>
      <c r="Q85" s="35" t="str">
        <f aca="false">IF(OR(H85="",G85=""),"",G85-P85)</f>
        <v/>
      </c>
      <c r="R85" s="36" t="str">
        <f aca="false">IF(H85="","",IF(OR(G85&lt;운용규칙!$B$8,K85&gt;운용규칙!$B$7),"위반","OK"))</f>
        <v/>
      </c>
      <c r="S85" s="28"/>
    </row>
    <row r="86" customFormat="false" ht="15" hidden="false" customHeight="false" outlineLevel="0" collapsed="false">
      <c r="A86" s="28"/>
      <c r="B86" s="29"/>
      <c r="C86" s="30"/>
      <c r="D86" s="28"/>
      <c r="E86" s="28"/>
      <c r="F86" s="28"/>
      <c r="G86" s="31"/>
      <c r="H86" s="32"/>
      <c r="I86" s="33"/>
      <c r="J86" s="33"/>
      <c r="K86" s="34" t="str">
        <f aca="false">IF(H86="","",H86*I86)</f>
        <v/>
      </c>
      <c r="L86" s="34" t="str">
        <f aca="false">IF(H86="","",H86*J86)</f>
        <v/>
      </c>
      <c r="M86" s="35" t="str">
        <f aca="false">IF(H86="","",(L86-K86)/K86*10000)</f>
        <v/>
      </c>
      <c r="N86" s="34" t="str">
        <f aca="false">IF(H86="","",K86*IF(E86="업비트",운용규칙!$B$5,운용규칙!$B$6)+L86*IF(F86="업비트",운용규칙!$B$5,운용규칙!$B$6))</f>
        <v/>
      </c>
      <c r="O86" s="34" t="str">
        <f aca="false">IF(H86="","",L86-K86-N86)</f>
        <v/>
      </c>
      <c r="P86" s="35" t="str">
        <f aca="false">IF(H86="","",O86/K86*10000)</f>
        <v/>
      </c>
      <c r="Q86" s="35" t="str">
        <f aca="false">IF(OR(H86="",G86=""),"",G86-P86)</f>
        <v/>
      </c>
      <c r="R86" s="36" t="str">
        <f aca="false">IF(H86="","",IF(OR(G86&lt;운용규칙!$B$8,K86&gt;운용규칙!$B$7),"위반","OK"))</f>
        <v/>
      </c>
      <c r="S86" s="28"/>
    </row>
    <row r="87" customFormat="false" ht="15" hidden="false" customHeight="false" outlineLevel="0" collapsed="false">
      <c r="A87" s="28"/>
      <c r="B87" s="29"/>
      <c r="C87" s="30"/>
      <c r="D87" s="28"/>
      <c r="E87" s="28"/>
      <c r="F87" s="28"/>
      <c r="G87" s="31"/>
      <c r="H87" s="32"/>
      <c r="I87" s="33"/>
      <c r="J87" s="33"/>
      <c r="K87" s="34" t="str">
        <f aca="false">IF(H87="","",H87*I87)</f>
        <v/>
      </c>
      <c r="L87" s="34" t="str">
        <f aca="false">IF(H87="","",H87*J87)</f>
        <v/>
      </c>
      <c r="M87" s="35" t="str">
        <f aca="false">IF(H87="","",(L87-K87)/K87*10000)</f>
        <v/>
      </c>
      <c r="N87" s="34" t="str">
        <f aca="false">IF(H87="","",K87*IF(E87="업비트",운용규칙!$B$5,운용규칙!$B$6)+L87*IF(F87="업비트",운용규칙!$B$5,운용규칙!$B$6))</f>
        <v/>
      </c>
      <c r="O87" s="34" t="str">
        <f aca="false">IF(H87="","",L87-K87-N87)</f>
        <v/>
      </c>
      <c r="P87" s="35" t="str">
        <f aca="false">IF(H87="","",O87/K87*10000)</f>
        <v/>
      </c>
      <c r="Q87" s="35" t="str">
        <f aca="false">IF(OR(H87="",G87=""),"",G87-P87)</f>
        <v/>
      </c>
      <c r="R87" s="36" t="str">
        <f aca="false">IF(H87="","",IF(OR(G87&lt;운용규칙!$B$8,K87&gt;운용규칙!$B$7),"위반","OK"))</f>
        <v/>
      </c>
      <c r="S87" s="28"/>
    </row>
    <row r="88" customFormat="false" ht="15" hidden="false" customHeight="false" outlineLevel="0" collapsed="false">
      <c r="A88" s="28"/>
      <c r="B88" s="29"/>
      <c r="C88" s="30"/>
      <c r="D88" s="28"/>
      <c r="E88" s="28"/>
      <c r="F88" s="28"/>
      <c r="G88" s="31"/>
      <c r="H88" s="32"/>
      <c r="I88" s="33"/>
      <c r="J88" s="33"/>
      <c r="K88" s="34" t="str">
        <f aca="false">IF(H88="","",H88*I88)</f>
        <v/>
      </c>
      <c r="L88" s="34" t="str">
        <f aca="false">IF(H88="","",H88*J88)</f>
        <v/>
      </c>
      <c r="M88" s="35" t="str">
        <f aca="false">IF(H88="","",(L88-K88)/K88*10000)</f>
        <v/>
      </c>
      <c r="N88" s="34" t="str">
        <f aca="false">IF(H88="","",K88*IF(E88="업비트",운용규칙!$B$5,운용규칙!$B$6)+L88*IF(F88="업비트",운용규칙!$B$5,운용규칙!$B$6))</f>
        <v/>
      </c>
      <c r="O88" s="34" t="str">
        <f aca="false">IF(H88="","",L88-K88-N88)</f>
        <v/>
      </c>
      <c r="P88" s="35" t="str">
        <f aca="false">IF(H88="","",O88/K88*10000)</f>
        <v/>
      </c>
      <c r="Q88" s="35" t="str">
        <f aca="false">IF(OR(H88="",G88=""),"",G88-P88)</f>
        <v/>
      </c>
      <c r="R88" s="36" t="str">
        <f aca="false">IF(H88="","",IF(OR(G88&lt;운용규칙!$B$8,K88&gt;운용규칙!$B$7),"위반","OK"))</f>
        <v/>
      </c>
      <c r="S88" s="28"/>
    </row>
    <row r="89" customFormat="false" ht="15" hidden="false" customHeight="false" outlineLevel="0" collapsed="false">
      <c r="A89" s="28"/>
      <c r="B89" s="29"/>
      <c r="C89" s="30"/>
      <c r="D89" s="28"/>
      <c r="E89" s="28"/>
      <c r="F89" s="28"/>
      <c r="G89" s="31"/>
      <c r="H89" s="32"/>
      <c r="I89" s="33"/>
      <c r="J89" s="33"/>
      <c r="K89" s="34" t="str">
        <f aca="false">IF(H89="","",H89*I89)</f>
        <v/>
      </c>
      <c r="L89" s="34" t="str">
        <f aca="false">IF(H89="","",H89*J89)</f>
        <v/>
      </c>
      <c r="M89" s="35" t="str">
        <f aca="false">IF(H89="","",(L89-K89)/K89*10000)</f>
        <v/>
      </c>
      <c r="N89" s="34" t="str">
        <f aca="false">IF(H89="","",K89*IF(E89="업비트",운용규칙!$B$5,운용규칙!$B$6)+L89*IF(F89="업비트",운용규칙!$B$5,운용규칙!$B$6))</f>
        <v/>
      </c>
      <c r="O89" s="34" t="str">
        <f aca="false">IF(H89="","",L89-K89-N89)</f>
        <v/>
      </c>
      <c r="P89" s="35" t="str">
        <f aca="false">IF(H89="","",O89/K89*10000)</f>
        <v/>
      </c>
      <c r="Q89" s="35" t="str">
        <f aca="false">IF(OR(H89="",G89=""),"",G89-P89)</f>
        <v/>
      </c>
      <c r="R89" s="36" t="str">
        <f aca="false">IF(H89="","",IF(OR(G89&lt;운용규칙!$B$8,K89&gt;운용규칙!$B$7),"위반","OK"))</f>
        <v/>
      </c>
      <c r="S89" s="28"/>
    </row>
    <row r="90" customFormat="false" ht="15" hidden="false" customHeight="false" outlineLevel="0" collapsed="false">
      <c r="A90" s="28"/>
      <c r="B90" s="29"/>
      <c r="C90" s="30"/>
      <c r="D90" s="28"/>
      <c r="E90" s="28"/>
      <c r="F90" s="28"/>
      <c r="G90" s="31"/>
      <c r="H90" s="32"/>
      <c r="I90" s="33"/>
      <c r="J90" s="33"/>
      <c r="K90" s="34" t="str">
        <f aca="false">IF(H90="","",H90*I90)</f>
        <v/>
      </c>
      <c r="L90" s="34" t="str">
        <f aca="false">IF(H90="","",H90*J90)</f>
        <v/>
      </c>
      <c r="M90" s="35" t="str">
        <f aca="false">IF(H90="","",(L90-K90)/K90*10000)</f>
        <v/>
      </c>
      <c r="N90" s="34" t="str">
        <f aca="false">IF(H90="","",K90*IF(E90="업비트",운용규칙!$B$5,운용규칙!$B$6)+L90*IF(F90="업비트",운용규칙!$B$5,운용규칙!$B$6))</f>
        <v/>
      </c>
      <c r="O90" s="34" t="str">
        <f aca="false">IF(H90="","",L90-K90-N90)</f>
        <v/>
      </c>
      <c r="P90" s="35" t="str">
        <f aca="false">IF(H90="","",O90/K90*10000)</f>
        <v/>
      </c>
      <c r="Q90" s="35" t="str">
        <f aca="false">IF(OR(H90="",G90=""),"",G90-P90)</f>
        <v/>
      </c>
      <c r="R90" s="36" t="str">
        <f aca="false">IF(H90="","",IF(OR(G90&lt;운용규칙!$B$8,K90&gt;운용규칙!$B$7),"위반","OK"))</f>
        <v/>
      </c>
      <c r="S90" s="28"/>
    </row>
    <row r="91" customFormat="false" ht="15" hidden="false" customHeight="false" outlineLevel="0" collapsed="false">
      <c r="A91" s="28"/>
      <c r="B91" s="29"/>
      <c r="C91" s="30"/>
      <c r="D91" s="28"/>
      <c r="E91" s="28"/>
      <c r="F91" s="28"/>
      <c r="G91" s="31"/>
      <c r="H91" s="32"/>
      <c r="I91" s="33"/>
      <c r="J91" s="33"/>
      <c r="K91" s="34" t="str">
        <f aca="false">IF(H91="","",H91*I91)</f>
        <v/>
      </c>
      <c r="L91" s="34" t="str">
        <f aca="false">IF(H91="","",H91*J91)</f>
        <v/>
      </c>
      <c r="M91" s="35" t="str">
        <f aca="false">IF(H91="","",(L91-K91)/K91*10000)</f>
        <v/>
      </c>
      <c r="N91" s="34" t="str">
        <f aca="false">IF(H91="","",K91*IF(E91="업비트",운용규칙!$B$5,운용규칙!$B$6)+L91*IF(F91="업비트",운용규칙!$B$5,운용규칙!$B$6))</f>
        <v/>
      </c>
      <c r="O91" s="34" t="str">
        <f aca="false">IF(H91="","",L91-K91-N91)</f>
        <v/>
      </c>
      <c r="P91" s="35" t="str">
        <f aca="false">IF(H91="","",O91/K91*10000)</f>
        <v/>
      </c>
      <c r="Q91" s="35" t="str">
        <f aca="false">IF(OR(H91="",G91=""),"",G91-P91)</f>
        <v/>
      </c>
      <c r="R91" s="36" t="str">
        <f aca="false">IF(H91="","",IF(OR(G91&lt;운용규칙!$B$8,K91&gt;운용규칙!$B$7),"위반","OK"))</f>
        <v/>
      </c>
      <c r="S91" s="28"/>
    </row>
    <row r="92" customFormat="false" ht="15" hidden="false" customHeight="false" outlineLevel="0" collapsed="false">
      <c r="A92" s="28"/>
      <c r="B92" s="29"/>
      <c r="C92" s="30"/>
      <c r="D92" s="28"/>
      <c r="E92" s="28"/>
      <c r="F92" s="28"/>
      <c r="G92" s="31"/>
      <c r="H92" s="32"/>
      <c r="I92" s="33"/>
      <c r="J92" s="33"/>
      <c r="K92" s="34" t="str">
        <f aca="false">IF(H92="","",H92*I92)</f>
        <v/>
      </c>
      <c r="L92" s="34" t="str">
        <f aca="false">IF(H92="","",H92*J92)</f>
        <v/>
      </c>
      <c r="M92" s="35" t="str">
        <f aca="false">IF(H92="","",(L92-K92)/K92*10000)</f>
        <v/>
      </c>
      <c r="N92" s="34" t="str">
        <f aca="false">IF(H92="","",K92*IF(E92="업비트",운용규칙!$B$5,운용규칙!$B$6)+L92*IF(F92="업비트",운용규칙!$B$5,운용규칙!$B$6))</f>
        <v/>
      </c>
      <c r="O92" s="34" t="str">
        <f aca="false">IF(H92="","",L92-K92-N92)</f>
        <v/>
      </c>
      <c r="P92" s="35" t="str">
        <f aca="false">IF(H92="","",O92/K92*10000)</f>
        <v/>
      </c>
      <c r="Q92" s="35" t="str">
        <f aca="false">IF(OR(H92="",G92=""),"",G92-P92)</f>
        <v/>
      </c>
      <c r="R92" s="36" t="str">
        <f aca="false">IF(H92="","",IF(OR(G92&lt;운용규칙!$B$8,K92&gt;운용규칙!$B$7),"위반","OK"))</f>
        <v/>
      </c>
      <c r="S92" s="28"/>
    </row>
    <row r="93" customFormat="false" ht="15" hidden="false" customHeight="false" outlineLevel="0" collapsed="false">
      <c r="A93" s="28"/>
      <c r="B93" s="29"/>
      <c r="C93" s="30"/>
      <c r="D93" s="28"/>
      <c r="E93" s="28"/>
      <c r="F93" s="28"/>
      <c r="G93" s="31"/>
      <c r="H93" s="32"/>
      <c r="I93" s="33"/>
      <c r="J93" s="33"/>
      <c r="K93" s="34" t="str">
        <f aca="false">IF(H93="","",H93*I93)</f>
        <v/>
      </c>
      <c r="L93" s="34" t="str">
        <f aca="false">IF(H93="","",H93*J93)</f>
        <v/>
      </c>
      <c r="M93" s="35" t="str">
        <f aca="false">IF(H93="","",(L93-K93)/K93*10000)</f>
        <v/>
      </c>
      <c r="N93" s="34" t="str">
        <f aca="false">IF(H93="","",K93*IF(E93="업비트",운용규칙!$B$5,운용규칙!$B$6)+L93*IF(F93="업비트",운용규칙!$B$5,운용규칙!$B$6))</f>
        <v/>
      </c>
      <c r="O93" s="34" t="str">
        <f aca="false">IF(H93="","",L93-K93-N93)</f>
        <v/>
      </c>
      <c r="P93" s="35" t="str">
        <f aca="false">IF(H93="","",O93/K93*10000)</f>
        <v/>
      </c>
      <c r="Q93" s="35" t="str">
        <f aca="false">IF(OR(H93="",G93=""),"",G93-P93)</f>
        <v/>
      </c>
      <c r="R93" s="36" t="str">
        <f aca="false">IF(H93="","",IF(OR(G93&lt;운용규칙!$B$8,K93&gt;운용규칙!$B$7),"위반","OK"))</f>
        <v/>
      </c>
      <c r="S93" s="28"/>
    </row>
    <row r="94" customFormat="false" ht="15" hidden="false" customHeight="false" outlineLevel="0" collapsed="false">
      <c r="A94" s="28"/>
      <c r="B94" s="29"/>
      <c r="C94" s="30"/>
      <c r="D94" s="28"/>
      <c r="E94" s="28"/>
      <c r="F94" s="28"/>
      <c r="G94" s="31"/>
      <c r="H94" s="32"/>
      <c r="I94" s="33"/>
      <c r="J94" s="33"/>
      <c r="K94" s="34" t="str">
        <f aca="false">IF(H94="","",H94*I94)</f>
        <v/>
      </c>
      <c r="L94" s="34" t="str">
        <f aca="false">IF(H94="","",H94*J94)</f>
        <v/>
      </c>
      <c r="M94" s="35" t="str">
        <f aca="false">IF(H94="","",(L94-K94)/K94*10000)</f>
        <v/>
      </c>
      <c r="N94" s="34" t="str">
        <f aca="false">IF(H94="","",K94*IF(E94="업비트",운용규칙!$B$5,운용규칙!$B$6)+L94*IF(F94="업비트",운용규칙!$B$5,운용규칙!$B$6))</f>
        <v/>
      </c>
      <c r="O94" s="34" t="str">
        <f aca="false">IF(H94="","",L94-K94-N94)</f>
        <v/>
      </c>
      <c r="P94" s="35" t="str">
        <f aca="false">IF(H94="","",O94/K94*10000)</f>
        <v/>
      </c>
      <c r="Q94" s="35" t="str">
        <f aca="false">IF(OR(H94="",G94=""),"",G94-P94)</f>
        <v/>
      </c>
      <c r="R94" s="36" t="str">
        <f aca="false">IF(H94="","",IF(OR(G94&lt;운용규칙!$B$8,K94&gt;운용규칙!$B$7),"위반","OK"))</f>
        <v/>
      </c>
      <c r="S94" s="28"/>
    </row>
    <row r="95" customFormat="false" ht="15" hidden="false" customHeight="false" outlineLevel="0" collapsed="false">
      <c r="A95" s="28"/>
      <c r="B95" s="29"/>
      <c r="C95" s="30"/>
      <c r="D95" s="28"/>
      <c r="E95" s="28"/>
      <c r="F95" s="28"/>
      <c r="G95" s="31"/>
      <c r="H95" s="32"/>
      <c r="I95" s="33"/>
      <c r="J95" s="33"/>
      <c r="K95" s="34" t="str">
        <f aca="false">IF(H95="","",H95*I95)</f>
        <v/>
      </c>
      <c r="L95" s="34" t="str">
        <f aca="false">IF(H95="","",H95*J95)</f>
        <v/>
      </c>
      <c r="M95" s="35" t="str">
        <f aca="false">IF(H95="","",(L95-K95)/K95*10000)</f>
        <v/>
      </c>
      <c r="N95" s="34" t="str">
        <f aca="false">IF(H95="","",K95*IF(E95="업비트",운용규칙!$B$5,운용규칙!$B$6)+L95*IF(F95="업비트",운용규칙!$B$5,운용규칙!$B$6))</f>
        <v/>
      </c>
      <c r="O95" s="34" t="str">
        <f aca="false">IF(H95="","",L95-K95-N95)</f>
        <v/>
      </c>
      <c r="P95" s="35" t="str">
        <f aca="false">IF(H95="","",O95/K95*10000)</f>
        <v/>
      </c>
      <c r="Q95" s="35" t="str">
        <f aca="false">IF(OR(H95="",G95=""),"",G95-P95)</f>
        <v/>
      </c>
      <c r="R95" s="36" t="str">
        <f aca="false">IF(H95="","",IF(OR(G95&lt;운용규칙!$B$8,K95&gt;운용규칙!$B$7),"위반","OK"))</f>
        <v/>
      </c>
      <c r="S95" s="28"/>
    </row>
    <row r="96" customFormat="false" ht="15" hidden="false" customHeight="false" outlineLevel="0" collapsed="false">
      <c r="A96" s="28"/>
      <c r="B96" s="29"/>
      <c r="C96" s="30"/>
      <c r="D96" s="28"/>
      <c r="E96" s="28"/>
      <c r="F96" s="28"/>
      <c r="G96" s="31"/>
      <c r="H96" s="32"/>
      <c r="I96" s="33"/>
      <c r="J96" s="33"/>
      <c r="K96" s="34" t="str">
        <f aca="false">IF(H96="","",H96*I96)</f>
        <v/>
      </c>
      <c r="L96" s="34" t="str">
        <f aca="false">IF(H96="","",H96*J96)</f>
        <v/>
      </c>
      <c r="M96" s="35" t="str">
        <f aca="false">IF(H96="","",(L96-K96)/K96*10000)</f>
        <v/>
      </c>
      <c r="N96" s="34" t="str">
        <f aca="false">IF(H96="","",K96*IF(E96="업비트",운용규칙!$B$5,운용규칙!$B$6)+L96*IF(F96="업비트",운용규칙!$B$5,운용규칙!$B$6))</f>
        <v/>
      </c>
      <c r="O96" s="34" t="str">
        <f aca="false">IF(H96="","",L96-K96-N96)</f>
        <v/>
      </c>
      <c r="P96" s="35" t="str">
        <f aca="false">IF(H96="","",O96/K96*10000)</f>
        <v/>
      </c>
      <c r="Q96" s="35" t="str">
        <f aca="false">IF(OR(H96="",G96=""),"",G96-P96)</f>
        <v/>
      </c>
      <c r="R96" s="36" t="str">
        <f aca="false">IF(H96="","",IF(OR(G96&lt;운용규칙!$B$8,K96&gt;운용규칙!$B$7),"위반","OK"))</f>
        <v/>
      </c>
      <c r="S96" s="28"/>
    </row>
    <row r="97" customFormat="false" ht="15" hidden="false" customHeight="false" outlineLevel="0" collapsed="false">
      <c r="A97" s="28"/>
      <c r="B97" s="29"/>
      <c r="C97" s="30"/>
      <c r="D97" s="28"/>
      <c r="E97" s="28"/>
      <c r="F97" s="28"/>
      <c r="G97" s="31"/>
      <c r="H97" s="32"/>
      <c r="I97" s="33"/>
      <c r="J97" s="33"/>
      <c r="K97" s="34" t="str">
        <f aca="false">IF(H97="","",H97*I97)</f>
        <v/>
      </c>
      <c r="L97" s="34" t="str">
        <f aca="false">IF(H97="","",H97*J97)</f>
        <v/>
      </c>
      <c r="M97" s="35" t="str">
        <f aca="false">IF(H97="","",(L97-K97)/K97*10000)</f>
        <v/>
      </c>
      <c r="N97" s="34" t="str">
        <f aca="false">IF(H97="","",K97*IF(E97="업비트",운용규칙!$B$5,운용규칙!$B$6)+L97*IF(F97="업비트",운용규칙!$B$5,운용규칙!$B$6))</f>
        <v/>
      </c>
      <c r="O97" s="34" t="str">
        <f aca="false">IF(H97="","",L97-K97-N97)</f>
        <v/>
      </c>
      <c r="P97" s="35" t="str">
        <f aca="false">IF(H97="","",O97/K97*10000)</f>
        <v/>
      </c>
      <c r="Q97" s="35" t="str">
        <f aca="false">IF(OR(H97="",G97=""),"",G97-P97)</f>
        <v/>
      </c>
      <c r="R97" s="36" t="str">
        <f aca="false">IF(H97="","",IF(OR(G97&lt;운용규칙!$B$8,K97&gt;운용규칙!$B$7),"위반","OK"))</f>
        <v/>
      </c>
      <c r="S97" s="28"/>
    </row>
    <row r="98" customFormat="false" ht="15" hidden="false" customHeight="false" outlineLevel="0" collapsed="false">
      <c r="A98" s="28"/>
      <c r="B98" s="29"/>
      <c r="C98" s="30"/>
      <c r="D98" s="28"/>
      <c r="E98" s="28"/>
      <c r="F98" s="28"/>
      <c r="G98" s="31"/>
      <c r="H98" s="32"/>
      <c r="I98" s="33"/>
      <c r="J98" s="33"/>
      <c r="K98" s="34" t="str">
        <f aca="false">IF(H98="","",H98*I98)</f>
        <v/>
      </c>
      <c r="L98" s="34" t="str">
        <f aca="false">IF(H98="","",H98*J98)</f>
        <v/>
      </c>
      <c r="M98" s="35" t="str">
        <f aca="false">IF(H98="","",(L98-K98)/K98*10000)</f>
        <v/>
      </c>
      <c r="N98" s="34" t="str">
        <f aca="false">IF(H98="","",K98*IF(E98="업비트",운용규칙!$B$5,운용규칙!$B$6)+L98*IF(F98="업비트",운용규칙!$B$5,운용규칙!$B$6))</f>
        <v/>
      </c>
      <c r="O98" s="34" t="str">
        <f aca="false">IF(H98="","",L98-K98-N98)</f>
        <v/>
      </c>
      <c r="P98" s="35" t="str">
        <f aca="false">IF(H98="","",O98/K98*10000)</f>
        <v/>
      </c>
      <c r="Q98" s="35" t="str">
        <f aca="false">IF(OR(H98="",G98=""),"",G98-P98)</f>
        <v/>
      </c>
      <c r="R98" s="36" t="str">
        <f aca="false">IF(H98="","",IF(OR(G98&lt;운용규칙!$B$8,K98&gt;운용규칙!$B$7),"위반","OK"))</f>
        <v/>
      </c>
      <c r="S98" s="28"/>
    </row>
    <row r="99" customFormat="false" ht="15" hidden="false" customHeight="false" outlineLevel="0" collapsed="false">
      <c r="A99" s="28"/>
      <c r="B99" s="29"/>
      <c r="C99" s="30"/>
      <c r="D99" s="28"/>
      <c r="E99" s="28"/>
      <c r="F99" s="28"/>
      <c r="G99" s="31"/>
      <c r="H99" s="32"/>
      <c r="I99" s="33"/>
      <c r="J99" s="33"/>
      <c r="K99" s="34" t="str">
        <f aca="false">IF(H99="","",H99*I99)</f>
        <v/>
      </c>
      <c r="L99" s="34" t="str">
        <f aca="false">IF(H99="","",H99*J99)</f>
        <v/>
      </c>
      <c r="M99" s="35" t="str">
        <f aca="false">IF(H99="","",(L99-K99)/K99*10000)</f>
        <v/>
      </c>
      <c r="N99" s="34" t="str">
        <f aca="false">IF(H99="","",K99*IF(E99="업비트",운용규칙!$B$5,운용규칙!$B$6)+L99*IF(F99="업비트",운용규칙!$B$5,운용규칙!$B$6))</f>
        <v/>
      </c>
      <c r="O99" s="34" t="str">
        <f aca="false">IF(H99="","",L99-K99-N99)</f>
        <v/>
      </c>
      <c r="P99" s="35" t="str">
        <f aca="false">IF(H99="","",O99/K99*10000)</f>
        <v/>
      </c>
      <c r="Q99" s="35" t="str">
        <f aca="false">IF(OR(H99="",G99=""),"",G99-P99)</f>
        <v/>
      </c>
      <c r="R99" s="36" t="str">
        <f aca="false">IF(H99="","",IF(OR(G99&lt;운용규칙!$B$8,K99&gt;운용규칙!$B$7),"위반","OK"))</f>
        <v/>
      </c>
      <c r="S99" s="28"/>
    </row>
    <row r="100" customFormat="false" ht="15" hidden="false" customHeight="false" outlineLevel="0" collapsed="false">
      <c r="A100" s="28"/>
      <c r="B100" s="29"/>
      <c r="C100" s="30"/>
      <c r="D100" s="28"/>
      <c r="E100" s="28"/>
      <c r="F100" s="28"/>
      <c r="G100" s="31"/>
      <c r="H100" s="32"/>
      <c r="I100" s="33"/>
      <c r="J100" s="33"/>
      <c r="K100" s="34" t="str">
        <f aca="false">IF(H100="","",H100*I100)</f>
        <v/>
      </c>
      <c r="L100" s="34" t="str">
        <f aca="false">IF(H100="","",H100*J100)</f>
        <v/>
      </c>
      <c r="M100" s="35" t="str">
        <f aca="false">IF(H100="","",(L100-K100)/K100*10000)</f>
        <v/>
      </c>
      <c r="N100" s="34" t="str">
        <f aca="false">IF(H100="","",K100*IF(E100="업비트",운용규칙!$B$5,운용규칙!$B$6)+L100*IF(F100="업비트",운용규칙!$B$5,운용규칙!$B$6))</f>
        <v/>
      </c>
      <c r="O100" s="34" t="str">
        <f aca="false">IF(H100="","",L100-K100-N100)</f>
        <v/>
      </c>
      <c r="P100" s="35" t="str">
        <f aca="false">IF(H100="","",O100/K100*10000)</f>
        <v/>
      </c>
      <c r="Q100" s="35" t="str">
        <f aca="false">IF(OR(H100="",G100=""),"",G100-P100)</f>
        <v/>
      </c>
      <c r="R100" s="36" t="str">
        <f aca="false">IF(H100="","",IF(OR(G100&lt;운용규칙!$B$8,K100&gt;운용규칙!$B$7),"위반","OK"))</f>
        <v/>
      </c>
      <c r="S100" s="28"/>
    </row>
    <row r="101" customFormat="false" ht="15" hidden="false" customHeight="false" outlineLevel="0" collapsed="false">
      <c r="A101" s="28"/>
      <c r="B101" s="29"/>
      <c r="C101" s="30"/>
      <c r="D101" s="28"/>
      <c r="E101" s="28"/>
      <c r="F101" s="28"/>
      <c r="G101" s="31"/>
      <c r="H101" s="32"/>
      <c r="I101" s="33"/>
      <c r="J101" s="33"/>
      <c r="K101" s="34" t="str">
        <f aca="false">IF(H101="","",H101*I101)</f>
        <v/>
      </c>
      <c r="L101" s="34" t="str">
        <f aca="false">IF(H101="","",H101*J101)</f>
        <v/>
      </c>
      <c r="M101" s="35" t="str">
        <f aca="false">IF(H101="","",(L101-K101)/K101*10000)</f>
        <v/>
      </c>
      <c r="N101" s="34" t="str">
        <f aca="false">IF(H101="","",K101*IF(E101="업비트",운용규칙!$B$5,운용규칙!$B$6)+L101*IF(F101="업비트",운용규칙!$B$5,운용규칙!$B$6))</f>
        <v/>
      </c>
      <c r="O101" s="34" t="str">
        <f aca="false">IF(H101="","",L101-K101-N101)</f>
        <v/>
      </c>
      <c r="P101" s="35" t="str">
        <f aca="false">IF(H101="","",O101/K101*10000)</f>
        <v/>
      </c>
      <c r="Q101" s="35" t="str">
        <f aca="false">IF(OR(H101="",G101=""),"",G101-P101)</f>
        <v/>
      </c>
      <c r="R101" s="36" t="str">
        <f aca="false">IF(H101="","",IF(OR(G101&lt;운용규칙!$B$8,K101&gt;운용규칙!$B$7),"위반","OK"))</f>
        <v/>
      </c>
      <c r="S101" s="28"/>
    </row>
    <row r="102" customFormat="false" ht="15" hidden="false" customHeight="false" outlineLevel="0" collapsed="false">
      <c r="A102" s="28"/>
      <c r="B102" s="29"/>
      <c r="C102" s="30"/>
      <c r="D102" s="28"/>
      <c r="E102" s="28"/>
      <c r="F102" s="28"/>
      <c r="G102" s="31"/>
      <c r="H102" s="32"/>
      <c r="I102" s="33"/>
      <c r="J102" s="33"/>
      <c r="K102" s="34" t="str">
        <f aca="false">IF(H102="","",H102*I102)</f>
        <v/>
      </c>
      <c r="L102" s="34" t="str">
        <f aca="false">IF(H102="","",H102*J102)</f>
        <v/>
      </c>
      <c r="M102" s="35" t="str">
        <f aca="false">IF(H102="","",(L102-K102)/K102*10000)</f>
        <v/>
      </c>
      <c r="N102" s="34" t="str">
        <f aca="false">IF(H102="","",K102*IF(E102="업비트",운용규칙!$B$5,운용규칙!$B$6)+L102*IF(F102="업비트",운용규칙!$B$5,운용규칙!$B$6))</f>
        <v/>
      </c>
      <c r="O102" s="34" t="str">
        <f aca="false">IF(H102="","",L102-K102-N102)</f>
        <v/>
      </c>
      <c r="P102" s="35" t="str">
        <f aca="false">IF(H102="","",O102/K102*10000)</f>
        <v/>
      </c>
      <c r="Q102" s="35" t="str">
        <f aca="false">IF(OR(H102="",G102=""),"",G102-P102)</f>
        <v/>
      </c>
      <c r="R102" s="36" t="str">
        <f aca="false">IF(H102="","",IF(OR(G102&lt;운용규칙!$B$8,K102&gt;운용규칙!$B$7),"위반","OK"))</f>
        <v/>
      </c>
      <c r="S102" s="28"/>
    </row>
    <row r="103" customFormat="false" ht="15" hidden="false" customHeight="false" outlineLevel="0" collapsed="false">
      <c r="A103" s="28"/>
      <c r="B103" s="29"/>
      <c r="C103" s="30"/>
      <c r="D103" s="28"/>
      <c r="E103" s="28"/>
      <c r="F103" s="28"/>
      <c r="G103" s="31"/>
      <c r="H103" s="32"/>
      <c r="I103" s="33"/>
      <c r="J103" s="33"/>
      <c r="K103" s="34" t="str">
        <f aca="false">IF(H103="","",H103*I103)</f>
        <v/>
      </c>
      <c r="L103" s="34" t="str">
        <f aca="false">IF(H103="","",H103*J103)</f>
        <v/>
      </c>
      <c r="M103" s="35" t="str">
        <f aca="false">IF(H103="","",(L103-K103)/K103*10000)</f>
        <v/>
      </c>
      <c r="N103" s="34" t="str">
        <f aca="false">IF(H103="","",K103*IF(E103="업비트",운용규칙!$B$5,운용규칙!$B$6)+L103*IF(F103="업비트",운용규칙!$B$5,운용규칙!$B$6))</f>
        <v/>
      </c>
      <c r="O103" s="34" t="str">
        <f aca="false">IF(H103="","",L103-K103-N103)</f>
        <v/>
      </c>
      <c r="P103" s="35" t="str">
        <f aca="false">IF(H103="","",O103/K103*10000)</f>
        <v/>
      </c>
      <c r="Q103" s="35" t="str">
        <f aca="false">IF(OR(H103="",G103=""),"",G103-P103)</f>
        <v/>
      </c>
      <c r="R103" s="36" t="str">
        <f aca="false">IF(H103="","",IF(OR(G103&lt;운용규칙!$B$8,K103&gt;운용규칙!$B$7),"위반","OK"))</f>
        <v/>
      </c>
      <c r="S103" s="28"/>
    </row>
    <row r="104" customFormat="false" ht="15" hidden="false" customHeight="false" outlineLevel="0" collapsed="false">
      <c r="A104" s="28"/>
      <c r="B104" s="29"/>
      <c r="C104" s="30"/>
      <c r="D104" s="28"/>
      <c r="E104" s="28"/>
      <c r="F104" s="28"/>
      <c r="G104" s="31"/>
      <c r="H104" s="32"/>
      <c r="I104" s="33"/>
      <c r="J104" s="33"/>
      <c r="K104" s="34" t="str">
        <f aca="false">IF(H104="","",H104*I104)</f>
        <v/>
      </c>
      <c r="L104" s="34" t="str">
        <f aca="false">IF(H104="","",H104*J104)</f>
        <v/>
      </c>
      <c r="M104" s="35" t="str">
        <f aca="false">IF(H104="","",(L104-K104)/K104*10000)</f>
        <v/>
      </c>
      <c r="N104" s="34" t="str">
        <f aca="false">IF(H104="","",K104*IF(E104="업비트",운용규칙!$B$5,운용규칙!$B$6)+L104*IF(F104="업비트",운용규칙!$B$5,운용규칙!$B$6))</f>
        <v/>
      </c>
      <c r="O104" s="34" t="str">
        <f aca="false">IF(H104="","",L104-K104-N104)</f>
        <v/>
      </c>
      <c r="P104" s="35" t="str">
        <f aca="false">IF(H104="","",O104/K104*10000)</f>
        <v/>
      </c>
      <c r="Q104" s="35" t="str">
        <f aca="false">IF(OR(H104="",G104=""),"",G104-P104)</f>
        <v/>
      </c>
      <c r="R104" s="36" t="str">
        <f aca="false">IF(H104="","",IF(OR(G104&lt;운용규칙!$B$8,K104&gt;운용규칙!$B$7),"위반","OK"))</f>
        <v/>
      </c>
      <c r="S104" s="28"/>
    </row>
    <row r="105" customFormat="false" ht="15" hidden="false" customHeight="false" outlineLevel="0" collapsed="false">
      <c r="A105" s="28"/>
      <c r="B105" s="29"/>
      <c r="C105" s="30"/>
      <c r="D105" s="28"/>
      <c r="E105" s="28"/>
      <c r="F105" s="28"/>
      <c r="G105" s="31"/>
      <c r="H105" s="32"/>
      <c r="I105" s="33"/>
      <c r="J105" s="33"/>
      <c r="K105" s="34" t="str">
        <f aca="false">IF(H105="","",H105*I105)</f>
        <v/>
      </c>
      <c r="L105" s="34" t="str">
        <f aca="false">IF(H105="","",H105*J105)</f>
        <v/>
      </c>
      <c r="M105" s="35" t="str">
        <f aca="false">IF(H105="","",(L105-K105)/K105*10000)</f>
        <v/>
      </c>
      <c r="N105" s="34" t="str">
        <f aca="false">IF(H105="","",K105*IF(E105="업비트",운용규칙!$B$5,운용규칙!$B$6)+L105*IF(F105="업비트",운용규칙!$B$5,운용규칙!$B$6))</f>
        <v/>
      </c>
      <c r="O105" s="34" t="str">
        <f aca="false">IF(H105="","",L105-K105-N105)</f>
        <v/>
      </c>
      <c r="P105" s="35" t="str">
        <f aca="false">IF(H105="","",O105/K105*10000)</f>
        <v/>
      </c>
      <c r="Q105" s="35" t="str">
        <f aca="false">IF(OR(H105="",G105=""),"",G105-P105)</f>
        <v/>
      </c>
      <c r="R105" s="36" t="str">
        <f aca="false">IF(H105="","",IF(OR(G105&lt;운용규칙!$B$8,K105&gt;운용규칙!$B$7),"위반","OK"))</f>
        <v/>
      </c>
      <c r="S105" s="28"/>
    </row>
    <row r="106" customFormat="false" ht="15" hidden="false" customHeight="false" outlineLevel="0" collapsed="false">
      <c r="A106" s="28"/>
      <c r="B106" s="29"/>
      <c r="C106" s="30"/>
      <c r="D106" s="28"/>
      <c r="E106" s="28"/>
      <c r="F106" s="28"/>
      <c r="G106" s="31"/>
      <c r="H106" s="32"/>
      <c r="I106" s="33"/>
      <c r="J106" s="33"/>
      <c r="K106" s="34" t="str">
        <f aca="false">IF(H106="","",H106*I106)</f>
        <v/>
      </c>
      <c r="L106" s="34" t="str">
        <f aca="false">IF(H106="","",H106*J106)</f>
        <v/>
      </c>
      <c r="M106" s="35" t="str">
        <f aca="false">IF(H106="","",(L106-K106)/K106*10000)</f>
        <v/>
      </c>
      <c r="N106" s="34" t="str">
        <f aca="false">IF(H106="","",K106*IF(E106="업비트",운용규칙!$B$5,운용규칙!$B$6)+L106*IF(F106="업비트",운용규칙!$B$5,운용규칙!$B$6))</f>
        <v/>
      </c>
      <c r="O106" s="34" t="str">
        <f aca="false">IF(H106="","",L106-K106-N106)</f>
        <v/>
      </c>
      <c r="P106" s="35" t="str">
        <f aca="false">IF(H106="","",O106/K106*10000)</f>
        <v/>
      </c>
      <c r="Q106" s="35" t="str">
        <f aca="false">IF(OR(H106="",G106=""),"",G106-P106)</f>
        <v/>
      </c>
      <c r="R106" s="36" t="str">
        <f aca="false">IF(H106="","",IF(OR(G106&lt;운용규칙!$B$8,K106&gt;운용규칙!$B$7),"위반","OK"))</f>
        <v/>
      </c>
      <c r="S106" s="28"/>
    </row>
    <row r="107" customFormat="false" ht="15" hidden="false" customHeight="false" outlineLevel="0" collapsed="false">
      <c r="A107" s="28"/>
      <c r="B107" s="29"/>
      <c r="C107" s="30"/>
      <c r="D107" s="28"/>
      <c r="E107" s="28"/>
      <c r="F107" s="28"/>
      <c r="G107" s="31"/>
      <c r="H107" s="32"/>
      <c r="I107" s="33"/>
      <c r="J107" s="33"/>
      <c r="K107" s="34" t="str">
        <f aca="false">IF(H107="","",H107*I107)</f>
        <v/>
      </c>
      <c r="L107" s="34" t="str">
        <f aca="false">IF(H107="","",H107*J107)</f>
        <v/>
      </c>
      <c r="M107" s="35" t="str">
        <f aca="false">IF(H107="","",(L107-K107)/K107*10000)</f>
        <v/>
      </c>
      <c r="N107" s="34" t="str">
        <f aca="false">IF(H107="","",K107*IF(E107="업비트",운용규칙!$B$5,운용규칙!$B$6)+L107*IF(F107="업비트",운용규칙!$B$5,운용규칙!$B$6))</f>
        <v/>
      </c>
      <c r="O107" s="34" t="str">
        <f aca="false">IF(H107="","",L107-K107-N107)</f>
        <v/>
      </c>
      <c r="P107" s="35" t="str">
        <f aca="false">IF(H107="","",O107/K107*10000)</f>
        <v/>
      </c>
      <c r="Q107" s="35" t="str">
        <f aca="false">IF(OR(H107="",G107=""),"",G107-P107)</f>
        <v/>
      </c>
      <c r="R107" s="36" t="str">
        <f aca="false">IF(H107="","",IF(OR(G107&lt;운용규칙!$B$8,K107&gt;운용규칙!$B$7),"위반","OK"))</f>
        <v/>
      </c>
      <c r="S107" s="28"/>
    </row>
    <row r="108" customFormat="false" ht="15" hidden="false" customHeight="false" outlineLevel="0" collapsed="false">
      <c r="A108" s="28"/>
      <c r="B108" s="29"/>
      <c r="C108" s="30"/>
      <c r="D108" s="28"/>
      <c r="E108" s="28"/>
      <c r="F108" s="28"/>
      <c r="G108" s="31"/>
      <c r="H108" s="32"/>
      <c r="I108" s="33"/>
      <c r="J108" s="33"/>
      <c r="K108" s="34" t="str">
        <f aca="false">IF(H108="","",H108*I108)</f>
        <v/>
      </c>
      <c r="L108" s="34" t="str">
        <f aca="false">IF(H108="","",H108*J108)</f>
        <v/>
      </c>
      <c r="M108" s="35" t="str">
        <f aca="false">IF(H108="","",(L108-K108)/K108*10000)</f>
        <v/>
      </c>
      <c r="N108" s="34" t="str">
        <f aca="false">IF(H108="","",K108*IF(E108="업비트",운용규칙!$B$5,운용규칙!$B$6)+L108*IF(F108="업비트",운용규칙!$B$5,운용규칙!$B$6))</f>
        <v/>
      </c>
      <c r="O108" s="34" t="str">
        <f aca="false">IF(H108="","",L108-K108-N108)</f>
        <v/>
      </c>
      <c r="P108" s="35" t="str">
        <f aca="false">IF(H108="","",O108/K108*10000)</f>
        <v/>
      </c>
      <c r="Q108" s="35" t="str">
        <f aca="false">IF(OR(H108="",G108=""),"",G108-P108)</f>
        <v/>
      </c>
      <c r="R108" s="36" t="str">
        <f aca="false">IF(H108="","",IF(OR(G108&lt;운용규칙!$B$8,K108&gt;운용규칙!$B$7),"위반","OK"))</f>
        <v/>
      </c>
      <c r="S108" s="28"/>
    </row>
    <row r="109" customFormat="false" ht="15" hidden="false" customHeight="false" outlineLevel="0" collapsed="false">
      <c r="A109" s="28"/>
      <c r="B109" s="29"/>
      <c r="C109" s="30"/>
      <c r="D109" s="28"/>
      <c r="E109" s="28"/>
      <c r="F109" s="28"/>
      <c r="G109" s="31"/>
      <c r="H109" s="32"/>
      <c r="I109" s="33"/>
      <c r="J109" s="33"/>
      <c r="K109" s="34" t="str">
        <f aca="false">IF(H109="","",H109*I109)</f>
        <v/>
      </c>
      <c r="L109" s="34" t="str">
        <f aca="false">IF(H109="","",H109*J109)</f>
        <v/>
      </c>
      <c r="M109" s="35" t="str">
        <f aca="false">IF(H109="","",(L109-K109)/K109*10000)</f>
        <v/>
      </c>
      <c r="N109" s="34" t="str">
        <f aca="false">IF(H109="","",K109*IF(E109="업비트",운용규칙!$B$5,운용규칙!$B$6)+L109*IF(F109="업비트",운용규칙!$B$5,운용규칙!$B$6))</f>
        <v/>
      </c>
      <c r="O109" s="34" t="str">
        <f aca="false">IF(H109="","",L109-K109-N109)</f>
        <v/>
      </c>
      <c r="P109" s="35" t="str">
        <f aca="false">IF(H109="","",O109/K109*10000)</f>
        <v/>
      </c>
      <c r="Q109" s="35" t="str">
        <f aca="false">IF(OR(H109="",G109=""),"",G109-P109)</f>
        <v/>
      </c>
      <c r="R109" s="36" t="str">
        <f aca="false">IF(H109="","",IF(OR(G109&lt;운용규칙!$B$8,K109&gt;운용규칙!$B$7),"위반","OK"))</f>
        <v/>
      </c>
      <c r="S109" s="28"/>
    </row>
    <row r="110" customFormat="false" ht="15" hidden="false" customHeight="false" outlineLevel="0" collapsed="false">
      <c r="A110" s="28"/>
      <c r="B110" s="29"/>
      <c r="C110" s="30"/>
      <c r="D110" s="28"/>
      <c r="E110" s="28"/>
      <c r="F110" s="28"/>
      <c r="G110" s="31"/>
      <c r="H110" s="32"/>
      <c r="I110" s="33"/>
      <c r="J110" s="33"/>
      <c r="K110" s="34" t="str">
        <f aca="false">IF(H110="","",H110*I110)</f>
        <v/>
      </c>
      <c r="L110" s="34" t="str">
        <f aca="false">IF(H110="","",H110*J110)</f>
        <v/>
      </c>
      <c r="M110" s="35" t="str">
        <f aca="false">IF(H110="","",(L110-K110)/K110*10000)</f>
        <v/>
      </c>
      <c r="N110" s="34" t="str">
        <f aca="false">IF(H110="","",K110*IF(E110="업비트",운용규칙!$B$5,운용규칙!$B$6)+L110*IF(F110="업비트",운용규칙!$B$5,운용규칙!$B$6))</f>
        <v/>
      </c>
      <c r="O110" s="34" t="str">
        <f aca="false">IF(H110="","",L110-K110-N110)</f>
        <v/>
      </c>
      <c r="P110" s="35" t="str">
        <f aca="false">IF(H110="","",O110/K110*10000)</f>
        <v/>
      </c>
      <c r="Q110" s="35" t="str">
        <f aca="false">IF(OR(H110="",G110=""),"",G110-P110)</f>
        <v/>
      </c>
      <c r="R110" s="36" t="str">
        <f aca="false">IF(H110="","",IF(OR(G110&lt;운용규칙!$B$8,K110&gt;운용규칙!$B$7),"위반","OK"))</f>
        <v/>
      </c>
      <c r="S110" s="28"/>
    </row>
    <row r="111" customFormat="false" ht="15" hidden="false" customHeight="false" outlineLevel="0" collapsed="false">
      <c r="A111" s="28"/>
      <c r="B111" s="29"/>
      <c r="C111" s="30"/>
      <c r="D111" s="28"/>
      <c r="E111" s="28"/>
      <c r="F111" s="28"/>
      <c r="G111" s="31"/>
      <c r="H111" s="32"/>
      <c r="I111" s="33"/>
      <c r="J111" s="33"/>
      <c r="K111" s="34" t="str">
        <f aca="false">IF(H111="","",H111*I111)</f>
        <v/>
      </c>
      <c r="L111" s="34" t="str">
        <f aca="false">IF(H111="","",H111*J111)</f>
        <v/>
      </c>
      <c r="M111" s="35" t="str">
        <f aca="false">IF(H111="","",(L111-K111)/K111*10000)</f>
        <v/>
      </c>
      <c r="N111" s="34" t="str">
        <f aca="false">IF(H111="","",K111*IF(E111="업비트",운용규칙!$B$5,운용규칙!$B$6)+L111*IF(F111="업비트",운용규칙!$B$5,운용규칙!$B$6))</f>
        <v/>
      </c>
      <c r="O111" s="34" t="str">
        <f aca="false">IF(H111="","",L111-K111-N111)</f>
        <v/>
      </c>
      <c r="P111" s="35" t="str">
        <f aca="false">IF(H111="","",O111/K111*10000)</f>
        <v/>
      </c>
      <c r="Q111" s="35" t="str">
        <f aca="false">IF(OR(H111="",G111=""),"",G111-P111)</f>
        <v/>
      </c>
      <c r="R111" s="36" t="str">
        <f aca="false">IF(H111="","",IF(OR(G111&lt;운용규칙!$B$8,K111&gt;운용규칙!$B$7),"위반","OK"))</f>
        <v/>
      </c>
      <c r="S111" s="28"/>
    </row>
    <row r="112" customFormat="false" ht="15" hidden="false" customHeight="false" outlineLevel="0" collapsed="false">
      <c r="A112" s="28"/>
      <c r="B112" s="29"/>
      <c r="C112" s="30"/>
      <c r="D112" s="28"/>
      <c r="E112" s="28"/>
      <c r="F112" s="28"/>
      <c r="G112" s="31"/>
      <c r="H112" s="32"/>
      <c r="I112" s="33"/>
      <c r="J112" s="33"/>
      <c r="K112" s="34" t="str">
        <f aca="false">IF(H112="","",H112*I112)</f>
        <v/>
      </c>
      <c r="L112" s="34" t="str">
        <f aca="false">IF(H112="","",H112*J112)</f>
        <v/>
      </c>
      <c r="M112" s="35" t="str">
        <f aca="false">IF(H112="","",(L112-K112)/K112*10000)</f>
        <v/>
      </c>
      <c r="N112" s="34" t="str">
        <f aca="false">IF(H112="","",K112*IF(E112="업비트",운용규칙!$B$5,운용규칙!$B$6)+L112*IF(F112="업비트",운용규칙!$B$5,운용규칙!$B$6))</f>
        <v/>
      </c>
      <c r="O112" s="34" t="str">
        <f aca="false">IF(H112="","",L112-K112-N112)</f>
        <v/>
      </c>
      <c r="P112" s="35" t="str">
        <f aca="false">IF(H112="","",O112/K112*10000)</f>
        <v/>
      </c>
      <c r="Q112" s="35" t="str">
        <f aca="false">IF(OR(H112="",G112=""),"",G112-P112)</f>
        <v/>
      </c>
      <c r="R112" s="36" t="str">
        <f aca="false">IF(H112="","",IF(OR(G112&lt;운용규칙!$B$8,K112&gt;운용규칙!$B$7),"위반","OK"))</f>
        <v/>
      </c>
      <c r="S112" s="28"/>
    </row>
    <row r="113" customFormat="false" ht="15" hidden="false" customHeight="false" outlineLevel="0" collapsed="false">
      <c r="A113" s="28"/>
      <c r="B113" s="29"/>
      <c r="C113" s="30"/>
      <c r="D113" s="28"/>
      <c r="E113" s="28"/>
      <c r="F113" s="28"/>
      <c r="G113" s="31"/>
      <c r="H113" s="32"/>
      <c r="I113" s="33"/>
      <c r="J113" s="33"/>
      <c r="K113" s="34" t="str">
        <f aca="false">IF(H113="","",H113*I113)</f>
        <v/>
      </c>
      <c r="L113" s="34" t="str">
        <f aca="false">IF(H113="","",H113*J113)</f>
        <v/>
      </c>
      <c r="M113" s="35" t="str">
        <f aca="false">IF(H113="","",(L113-K113)/K113*10000)</f>
        <v/>
      </c>
      <c r="N113" s="34" t="str">
        <f aca="false">IF(H113="","",K113*IF(E113="업비트",운용규칙!$B$5,운용규칙!$B$6)+L113*IF(F113="업비트",운용규칙!$B$5,운용규칙!$B$6))</f>
        <v/>
      </c>
      <c r="O113" s="34" t="str">
        <f aca="false">IF(H113="","",L113-K113-N113)</f>
        <v/>
      </c>
      <c r="P113" s="35" t="str">
        <f aca="false">IF(H113="","",O113/K113*10000)</f>
        <v/>
      </c>
      <c r="Q113" s="35" t="str">
        <f aca="false">IF(OR(H113="",G113=""),"",G113-P113)</f>
        <v/>
      </c>
      <c r="R113" s="36" t="str">
        <f aca="false">IF(H113="","",IF(OR(G113&lt;운용규칙!$B$8,K113&gt;운용규칙!$B$7),"위반","OK"))</f>
        <v/>
      </c>
      <c r="S113" s="28"/>
    </row>
    <row r="114" customFormat="false" ht="15" hidden="false" customHeight="false" outlineLevel="0" collapsed="false">
      <c r="A114" s="28"/>
      <c r="B114" s="29"/>
      <c r="C114" s="30"/>
      <c r="D114" s="28"/>
      <c r="E114" s="28"/>
      <c r="F114" s="28"/>
      <c r="G114" s="31"/>
      <c r="H114" s="32"/>
      <c r="I114" s="33"/>
      <c r="J114" s="33"/>
      <c r="K114" s="34" t="str">
        <f aca="false">IF(H114="","",H114*I114)</f>
        <v/>
      </c>
      <c r="L114" s="34" t="str">
        <f aca="false">IF(H114="","",H114*J114)</f>
        <v/>
      </c>
      <c r="M114" s="35" t="str">
        <f aca="false">IF(H114="","",(L114-K114)/K114*10000)</f>
        <v/>
      </c>
      <c r="N114" s="34" t="str">
        <f aca="false">IF(H114="","",K114*IF(E114="업비트",운용규칙!$B$5,운용규칙!$B$6)+L114*IF(F114="업비트",운용규칙!$B$5,운용규칙!$B$6))</f>
        <v/>
      </c>
      <c r="O114" s="34" t="str">
        <f aca="false">IF(H114="","",L114-K114-N114)</f>
        <v/>
      </c>
      <c r="P114" s="35" t="str">
        <f aca="false">IF(H114="","",O114/K114*10000)</f>
        <v/>
      </c>
      <c r="Q114" s="35" t="str">
        <f aca="false">IF(OR(H114="",G114=""),"",G114-P114)</f>
        <v/>
      </c>
      <c r="R114" s="36" t="str">
        <f aca="false">IF(H114="","",IF(OR(G114&lt;운용규칙!$B$8,K114&gt;운용규칙!$B$7),"위반","OK"))</f>
        <v/>
      </c>
      <c r="S114" s="28"/>
    </row>
    <row r="115" customFormat="false" ht="15" hidden="false" customHeight="false" outlineLevel="0" collapsed="false">
      <c r="A115" s="28"/>
      <c r="B115" s="29"/>
      <c r="C115" s="30"/>
      <c r="D115" s="28"/>
      <c r="E115" s="28"/>
      <c r="F115" s="28"/>
      <c r="G115" s="31"/>
      <c r="H115" s="32"/>
      <c r="I115" s="33"/>
      <c r="J115" s="33"/>
      <c r="K115" s="34" t="str">
        <f aca="false">IF(H115="","",H115*I115)</f>
        <v/>
      </c>
      <c r="L115" s="34" t="str">
        <f aca="false">IF(H115="","",H115*J115)</f>
        <v/>
      </c>
      <c r="M115" s="35" t="str">
        <f aca="false">IF(H115="","",(L115-K115)/K115*10000)</f>
        <v/>
      </c>
      <c r="N115" s="34" t="str">
        <f aca="false">IF(H115="","",K115*IF(E115="업비트",운용규칙!$B$5,운용규칙!$B$6)+L115*IF(F115="업비트",운용규칙!$B$5,운용규칙!$B$6))</f>
        <v/>
      </c>
      <c r="O115" s="34" t="str">
        <f aca="false">IF(H115="","",L115-K115-N115)</f>
        <v/>
      </c>
      <c r="P115" s="35" t="str">
        <f aca="false">IF(H115="","",O115/K115*10000)</f>
        <v/>
      </c>
      <c r="Q115" s="35" t="str">
        <f aca="false">IF(OR(H115="",G115=""),"",G115-P115)</f>
        <v/>
      </c>
      <c r="R115" s="36" t="str">
        <f aca="false">IF(H115="","",IF(OR(G115&lt;운용규칙!$B$8,K115&gt;운용규칙!$B$7),"위반","OK"))</f>
        <v/>
      </c>
      <c r="S115" s="28"/>
    </row>
    <row r="116" customFormat="false" ht="15" hidden="false" customHeight="false" outlineLevel="0" collapsed="false">
      <c r="A116" s="28"/>
      <c r="B116" s="29"/>
      <c r="C116" s="30"/>
      <c r="D116" s="28"/>
      <c r="E116" s="28"/>
      <c r="F116" s="28"/>
      <c r="G116" s="31"/>
      <c r="H116" s="32"/>
      <c r="I116" s="33"/>
      <c r="J116" s="33"/>
      <c r="K116" s="34" t="str">
        <f aca="false">IF(H116="","",H116*I116)</f>
        <v/>
      </c>
      <c r="L116" s="34" t="str">
        <f aca="false">IF(H116="","",H116*J116)</f>
        <v/>
      </c>
      <c r="M116" s="35" t="str">
        <f aca="false">IF(H116="","",(L116-K116)/K116*10000)</f>
        <v/>
      </c>
      <c r="N116" s="34" t="str">
        <f aca="false">IF(H116="","",K116*IF(E116="업비트",운용규칙!$B$5,운용규칙!$B$6)+L116*IF(F116="업비트",운용규칙!$B$5,운용규칙!$B$6))</f>
        <v/>
      </c>
      <c r="O116" s="34" t="str">
        <f aca="false">IF(H116="","",L116-K116-N116)</f>
        <v/>
      </c>
      <c r="P116" s="35" t="str">
        <f aca="false">IF(H116="","",O116/K116*10000)</f>
        <v/>
      </c>
      <c r="Q116" s="35" t="str">
        <f aca="false">IF(OR(H116="",G116=""),"",G116-P116)</f>
        <v/>
      </c>
      <c r="R116" s="36" t="str">
        <f aca="false">IF(H116="","",IF(OR(G116&lt;운용규칙!$B$8,K116&gt;운용규칙!$B$7),"위반","OK"))</f>
        <v/>
      </c>
      <c r="S116" s="28"/>
    </row>
    <row r="117" customFormat="false" ht="15" hidden="false" customHeight="false" outlineLevel="0" collapsed="false">
      <c r="A117" s="28"/>
      <c r="B117" s="29"/>
      <c r="C117" s="30"/>
      <c r="D117" s="28"/>
      <c r="E117" s="28"/>
      <c r="F117" s="28"/>
      <c r="G117" s="31"/>
      <c r="H117" s="32"/>
      <c r="I117" s="33"/>
      <c r="J117" s="33"/>
      <c r="K117" s="34" t="str">
        <f aca="false">IF(H117="","",H117*I117)</f>
        <v/>
      </c>
      <c r="L117" s="34" t="str">
        <f aca="false">IF(H117="","",H117*J117)</f>
        <v/>
      </c>
      <c r="M117" s="35" t="str">
        <f aca="false">IF(H117="","",(L117-K117)/K117*10000)</f>
        <v/>
      </c>
      <c r="N117" s="34" t="str">
        <f aca="false">IF(H117="","",K117*IF(E117="업비트",운용규칙!$B$5,운용규칙!$B$6)+L117*IF(F117="업비트",운용규칙!$B$5,운용규칙!$B$6))</f>
        <v/>
      </c>
      <c r="O117" s="34" t="str">
        <f aca="false">IF(H117="","",L117-K117-N117)</f>
        <v/>
      </c>
      <c r="P117" s="35" t="str">
        <f aca="false">IF(H117="","",O117/K117*10000)</f>
        <v/>
      </c>
      <c r="Q117" s="35" t="str">
        <f aca="false">IF(OR(H117="",G117=""),"",G117-P117)</f>
        <v/>
      </c>
      <c r="R117" s="36" t="str">
        <f aca="false">IF(H117="","",IF(OR(G117&lt;운용규칙!$B$8,K117&gt;운용규칙!$B$7),"위반","OK"))</f>
        <v/>
      </c>
      <c r="S117" s="28"/>
    </row>
    <row r="118" customFormat="false" ht="15" hidden="false" customHeight="false" outlineLevel="0" collapsed="false">
      <c r="A118" s="28"/>
      <c r="B118" s="29"/>
      <c r="C118" s="30"/>
      <c r="D118" s="28"/>
      <c r="E118" s="28"/>
      <c r="F118" s="28"/>
      <c r="G118" s="31"/>
      <c r="H118" s="32"/>
      <c r="I118" s="33"/>
      <c r="J118" s="33"/>
      <c r="K118" s="34" t="str">
        <f aca="false">IF(H118="","",H118*I118)</f>
        <v/>
      </c>
      <c r="L118" s="34" t="str">
        <f aca="false">IF(H118="","",H118*J118)</f>
        <v/>
      </c>
      <c r="M118" s="35" t="str">
        <f aca="false">IF(H118="","",(L118-K118)/K118*10000)</f>
        <v/>
      </c>
      <c r="N118" s="34" t="str">
        <f aca="false">IF(H118="","",K118*IF(E118="업비트",운용규칙!$B$5,운용규칙!$B$6)+L118*IF(F118="업비트",운용규칙!$B$5,운용규칙!$B$6))</f>
        <v/>
      </c>
      <c r="O118" s="34" t="str">
        <f aca="false">IF(H118="","",L118-K118-N118)</f>
        <v/>
      </c>
      <c r="P118" s="35" t="str">
        <f aca="false">IF(H118="","",O118/K118*10000)</f>
        <v/>
      </c>
      <c r="Q118" s="35" t="str">
        <f aca="false">IF(OR(H118="",G118=""),"",G118-P118)</f>
        <v/>
      </c>
      <c r="R118" s="36" t="str">
        <f aca="false">IF(H118="","",IF(OR(G118&lt;운용규칙!$B$8,K118&gt;운용규칙!$B$7),"위반","OK"))</f>
        <v/>
      </c>
      <c r="S118" s="28"/>
    </row>
    <row r="119" customFormat="false" ht="15" hidden="false" customHeight="false" outlineLevel="0" collapsed="false">
      <c r="A119" s="28"/>
      <c r="B119" s="29"/>
      <c r="C119" s="30"/>
      <c r="D119" s="28"/>
      <c r="E119" s="28"/>
      <c r="F119" s="28"/>
      <c r="G119" s="31"/>
      <c r="H119" s="32"/>
      <c r="I119" s="33"/>
      <c r="J119" s="33"/>
      <c r="K119" s="34" t="str">
        <f aca="false">IF(H119="","",H119*I119)</f>
        <v/>
      </c>
      <c r="L119" s="34" t="str">
        <f aca="false">IF(H119="","",H119*J119)</f>
        <v/>
      </c>
      <c r="M119" s="35" t="str">
        <f aca="false">IF(H119="","",(L119-K119)/K119*10000)</f>
        <v/>
      </c>
      <c r="N119" s="34" t="str">
        <f aca="false">IF(H119="","",K119*IF(E119="업비트",운용규칙!$B$5,운용규칙!$B$6)+L119*IF(F119="업비트",운용규칙!$B$5,운용규칙!$B$6))</f>
        <v/>
      </c>
      <c r="O119" s="34" t="str">
        <f aca="false">IF(H119="","",L119-K119-N119)</f>
        <v/>
      </c>
      <c r="P119" s="35" t="str">
        <f aca="false">IF(H119="","",O119/K119*10000)</f>
        <v/>
      </c>
      <c r="Q119" s="35" t="str">
        <f aca="false">IF(OR(H119="",G119=""),"",G119-P119)</f>
        <v/>
      </c>
      <c r="R119" s="36" t="str">
        <f aca="false">IF(H119="","",IF(OR(G119&lt;운용규칙!$B$8,K119&gt;운용규칙!$B$7),"위반","OK"))</f>
        <v/>
      </c>
      <c r="S119" s="28"/>
    </row>
    <row r="120" customFormat="false" ht="15" hidden="false" customHeight="false" outlineLevel="0" collapsed="false">
      <c r="A120" s="28"/>
      <c r="B120" s="29"/>
      <c r="C120" s="30"/>
      <c r="D120" s="28"/>
      <c r="E120" s="28"/>
      <c r="F120" s="28"/>
      <c r="G120" s="31"/>
      <c r="H120" s="32"/>
      <c r="I120" s="33"/>
      <c r="J120" s="33"/>
      <c r="K120" s="34" t="str">
        <f aca="false">IF(H120="","",H120*I120)</f>
        <v/>
      </c>
      <c r="L120" s="34" t="str">
        <f aca="false">IF(H120="","",H120*J120)</f>
        <v/>
      </c>
      <c r="M120" s="35" t="str">
        <f aca="false">IF(H120="","",(L120-K120)/K120*10000)</f>
        <v/>
      </c>
      <c r="N120" s="34" t="str">
        <f aca="false">IF(H120="","",K120*IF(E120="업비트",운용규칙!$B$5,운용규칙!$B$6)+L120*IF(F120="업비트",운용규칙!$B$5,운용규칙!$B$6))</f>
        <v/>
      </c>
      <c r="O120" s="34" t="str">
        <f aca="false">IF(H120="","",L120-K120-N120)</f>
        <v/>
      </c>
      <c r="P120" s="35" t="str">
        <f aca="false">IF(H120="","",O120/K120*10000)</f>
        <v/>
      </c>
      <c r="Q120" s="35" t="str">
        <f aca="false">IF(OR(H120="",G120=""),"",G120-P120)</f>
        <v/>
      </c>
      <c r="R120" s="36" t="str">
        <f aca="false">IF(H120="","",IF(OR(G120&lt;운용규칙!$B$8,K120&gt;운용규칙!$B$7),"위반","OK"))</f>
        <v/>
      </c>
      <c r="S120" s="28"/>
    </row>
    <row r="121" customFormat="false" ht="15" hidden="false" customHeight="false" outlineLevel="0" collapsed="false">
      <c r="A121" s="28"/>
      <c r="B121" s="29"/>
      <c r="C121" s="30"/>
      <c r="D121" s="28"/>
      <c r="E121" s="28"/>
      <c r="F121" s="28"/>
      <c r="G121" s="31"/>
      <c r="H121" s="32"/>
      <c r="I121" s="33"/>
      <c r="J121" s="33"/>
      <c r="K121" s="34" t="str">
        <f aca="false">IF(H121="","",H121*I121)</f>
        <v/>
      </c>
      <c r="L121" s="34" t="str">
        <f aca="false">IF(H121="","",H121*J121)</f>
        <v/>
      </c>
      <c r="M121" s="35" t="str">
        <f aca="false">IF(H121="","",(L121-K121)/K121*10000)</f>
        <v/>
      </c>
      <c r="N121" s="34" t="str">
        <f aca="false">IF(H121="","",K121*IF(E121="업비트",운용규칙!$B$5,운용규칙!$B$6)+L121*IF(F121="업비트",운용규칙!$B$5,운용규칙!$B$6))</f>
        <v/>
      </c>
      <c r="O121" s="34" t="str">
        <f aca="false">IF(H121="","",L121-K121-N121)</f>
        <v/>
      </c>
      <c r="P121" s="35" t="str">
        <f aca="false">IF(H121="","",O121/K121*10000)</f>
        <v/>
      </c>
      <c r="Q121" s="35" t="str">
        <f aca="false">IF(OR(H121="",G121=""),"",G121-P121)</f>
        <v/>
      </c>
      <c r="R121" s="36" t="str">
        <f aca="false">IF(H121="","",IF(OR(G121&lt;운용규칙!$B$8,K121&gt;운용규칙!$B$7),"위반","OK"))</f>
        <v/>
      </c>
      <c r="S121" s="28"/>
    </row>
    <row r="122" customFormat="false" ht="15" hidden="false" customHeight="false" outlineLevel="0" collapsed="false">
      <c r="A122" s="28"/>
      <c r="B122" s="29"/>
      <c r="C122" s="30"/>
      <c r="D122" s="28"/>
      <c r="E122" s="28"/>
      <c r="F122" s="28"/>
      <c r="G122" s="31"/>
      <c r="H122" s="32"/>
      <c r="I122" s="33"/>
      <c r="J122" s="33"/>
      <c r="K122" s="34" t="str">
        <f aca="false">IF(H122="","",H122*I122)</f>
        <v/>
      </c>
      <c r="L122" s="34" t="str">
        <f aca="false">IF(H122="","",H122*J122)</f>
        <v/>
      </c>
      <c r="M122" s="35" t="str">
        <f aca="false">IF(H122="","",(L122-K122)/K122*10000)</f>
        <v/>
      </c>
      <c r="N122" s="34" t="str">
        <f aca="false">IF(H122="","",K122*IF(E122="업비트",운용규칙!$B$5,운용규칙!$B$6)+L122*IF(F122="업비트",운용규칙!$B$5,운용규칙!$B$6))</f>
        <v/>
      </c>
      <c r="O122" s="34" t="str">
        <f aca="false">IF(H122="","",L122-K122-N122)</f>
        <v/>
      </c>
      <c r="P122" s="35" t="str">
        <f aca="false">IF(H122="","",O122/K122*10000)</f>
        <v/>
      </c>
      <c r="Q122" s="35" t="str">
        <f aca="false">IF(OR(H122="",G122=""),"",G122-P122)</f>
        <v/>
      </c>
      <c r="R122" s="36" t="str">
        <f aca="false">IF(H122="","",IF(OR(G122&lt;운용규칙!$B$8,K122&gt;운용규칙!$B$7),"위반","OK"))</f>
        <v/>
      </c>
      <c r="S122" s="28"/>
    </row>
    <row r="123" customFormat="false" ht="15" hidden="false" customHeight="false" outlineLevel="0" collapsed="false">
      <c r="A123" s="28"/>
      <c r="B123" s="29"/>
      <c r="C123" s="30"/>
      <c r="D123" s="28"/>
      <c r="E123" s="28"/>
      <c r="F123" s="28"/>
      <c r="G123" s="31"/>
      <c r="H123" s="32"/>
      <c r="I123" s="33"/>
      <c r="J123" s="33"/>
      <c r="K123" s="34" t="str">
        <f aca="false">IF(H123="","",H123*I123)</f>
        <v/>
      </c>
      <c r="L123" s="34" t="str">
        <f aca="false">IF(H123="","",H123*J123)</f>
        <v/>
      </c>
      <c r="M123" s="35" t="str">
        <f aca="false">IF(H123="","",(L123-K123)/K123*10000)</f>
        <v/>
      </c>
      <c r="N123" s="34" t="str">
        <f aca="false">IF(H123="","",K123*IF(E123="업비트",운용규칙!$B$5,운용규칙!$B$6)+L123*IF(F123="업비트",운용규칙!$B$5,운용규칙!$B$6))</f>
        <v/>
      </c>
      <c r="O123" s="34" t="str">
        <f aca="false">IF(H123="","",L123-K123-N123)</f>
        <v/>
      </c>
      <c r="P123" s="35" t="str">
        <f aca="false">IF(H123="","",O123/K123*10000)</f>
        <v/>
      </c>
      <c r="Q123" s="35" t="str">
        <f aca="false">IF(OR(H123="",G123=""),"",G123-P123)</f>
        <v/>
      </c>
      <c r="R123" s="36" t="str">
        <f aca="false">IF(H123="","",IF(OR(G123&lt;운용규칙!$B$8,K123&gt;운용규칙!$B$7),"위반","OK"))</f>
        <v/>
      </c>
      <c r="S123" s="28"/>
    </row>
    <row r="124" customFormat="false" ht="15" hidden="false" customHeight="false" outlineLevel="0" collapsed="false">
      <c r="A124" s="28"/>
      <c r="B124" s="29"/>
      <c r="C124" s="30"/>
      <c r="D124" s="28"/>
      <c r="E124" s="28"/>
      <c r="F124" s="28"/>
      <c r="G124" s="31"/>
      <c r="H124" s="32"/>
      <c r="I124" s="33"/>
      <c r="J124" s="33"/>
      <c r="K124" s="34" t="str">
        <f aca="false">IF(H124="","",H124*I124)</f>
        <v/>
      </c>
      <c r="L124" s="34" t="str">
        <f aca="false">IF(H124="","",H124*J124)</f>
        <v/>
      </c>
      <c r="M124" s="35" t="str">
        <f aca="false">IF(H124="","",(L124-K124)/K124*10000)</f>
        <v/>
      </c>
      <c r="N124" s="34" t="str">
        <f aca="false">IF(H124="","",K124*IF(E124="업비트",운용규칙!$B$5,운용규칙!$B$6)+L124*IF(F124="업비트",운용규칙!$B$5,운용규칙!$B$6))</f>
        <v/>
      </c>
      <c r="O124" s="34" t="str">
        <f aca="false">IF(H124="","",L124-K124-N124)</f>
        <v/>
      </c>
      <c r="P124" s="35" t="str">
        <f aca="false">IF(H124="","",O124/K124*10000)</f>
        <v/>
      </c>
      <c r="Q124" s="35" t="str">
        <f aca="false">IF(OR(H124="",G124=""),"",G124-P124)</f>
        <v/>
      </c>
      <c r="R124" s="36" t="str">
        <f aca="false">IF(H124="","",IF(OR(G124&lt;운용규칙!$B$8,K124&gt;운용규칙!$B$7),"위반","OK"))</f>
        <v/>
      </c>
      <c r="S124" s="28"/>
    </row>
    <row r="125" customFormat="false" ht="15" hidden="false" customHeight="false" outlineLevel="0" collapsed="false">
      <c r="A125" s="28"/>
      <c r="B125" s="29"/>
      <c r="C125" s="30"/>
      <c r="D125" s="28"/>
      <c r="E125" s="28"/>
      <c r="F125" s="28"/>
      <c r="G125" s="31"/>
      <c r="H125" s="32"/>
      <c r="I125" s="33"/>
      <c r="J125" s="33"/>
      <c r="K125" s="34" t="str">
        <f aca="false">IF(H125="","",H125*I125)</f>
        <v/>
      </c>
      <c r="L125" s="34" t="str">
        <f aca="false">IF(H125="","",H125*J125)</f>
        <v/>
      </c>
      <c r="M125" s="35" t="str">
        <f aca="false">IF(H125="","",(L125-K125)/K125*10000)</f>
        <v/>
      </c>
      <c r="N125" s="34" t="str">
        <f aca="false">IF(H125="","",K125*IF(E125="업비트",운용규칙!$B$5,운용규칙!$B$6)+L125*IF(F125="업비트",운용규칙!$B$5,운용규칙!$B$6))</f>
        <v/>
      </c>
      <c r="O125" s="34" t="str">
        <f aca="false">IF(H125="","",L125-K125-N125)</f>
        <v/>
      </c>
      <c r="P125" s="35" t="str">
        <f aca="false">IF(H125="","",O125/K125*10000)</f>
        <v/>
      </c>
      <c r="Q125" s="35" t="str">
        <f aca="false">IF(OR(H125="",G125=""),"",G125-P125)</f>
        <v/>
      </c>
      <c r="R125" s="36" t="str">
        <f aca="false">IF(H125="","",IF(OR(G125&lt;운용규칙!$B$8,K125&gt;운용규칙!$B$7),"위반","OK"))</f>
        <v/>
      </c>
      <c r="S125" s="28"/>
    </row>
    <row r="126" customFormat="false" ht="15" hidden="false" customHeight="false" outlineLevel="0" collapsed="false">
      <c r="A126" s="28"/>
      <c r="B126" s="29"/>
      <c r="C126" s="30"/>
      <c r="D126" s="28"/>
      <c r="E126" s="28"/>
      <c r="F126" s="28"/>
      <c r="G126" s="31"/>
      <c r="H126" s="32"/>
      <c r="I126" s="33"/>
      <c r="J126" s="33"/>
      <c r="K126" s="34" t="str">
        <f aca="false">IF(H126="","",H126*I126)</f>
        <v/>
      </c>
      <c r="L126" s="34" t="str">
        <f aca="false">IF(H126="","",H126*J126)</f>
        <v/>
      </c>
      <c r="M126" s="35" t="str">
        <f aca="false">IF(H126="","",(L126-K126)/K126*10000)</f>
        <v/>
      </c>
      <c r="N126" s="34" t="str">
        <f aca="false">IF(H126="","",K126*IF(E126="업비트",운용규칙!$B$5,운용규칙!$B$6)+L126*IF(F126="업비트",운용규칙!$B$5,운용규칙!$B$6))</f>
        <v/>
      </c>
      <c r="O126" s="34" t="str">
        <f aca="false">IF(H126="","",L126-K126-N126)</f>
        <v/>
      </c>
      <c r="P126" s="35" t="str">
        <f aca="false">IF(H126="","",O126/K126*10000)</f>
        <v/>
      </c>
      <c r="Q126" s="35" t="str">
        <f aca="false">IF(OR(H126="",G126=""),"",G126-P126)</f>
        <v/>
      </c>
      <c r="R126" s="36" t="str">
        <f aca="false">IF(H126="","",IF(OR(G126&lt;운용규칙!$B$8,K126&gt;운용규칙!$B$7),"위반","OK"))</f>
        <v/>
      </c>
      <c r="S126" s="28"/>
    </row>
    <row r="127" customFormat="false" ht="15" hidden="false" customHeight="false" outlineLevel="0" collapsed="false">
      <c r="A127" s="28"/>
      <c r="B127" s="29"/>
      <c r="C127" s="30"/>
      <c r="D127" s="28"/>
      <c r="E127" s="28"/>
      <c r="F127" s="28"/>
      <c r="G127" s="31"/>
      <c r="H127" s="32"/>
      <c r="I127" s="33"/>
      <c r="J127" s="33"/>
      <c r="K127" s="34" t="str">
        <f aca="false">IF(H127="","",H127*I127)</f>
        <v/>
      </c>
      <c r="L127" s="34" t="str">
        <f aca="false">IF(H127="","",H127*J127)</f>
        <v/>
      </c>
      <c r="M127" s="35" t="str">
        <f aca="false">IF(H127="","",(L127-K127)/K127*10000)</f>
        <v/>
      </c>
      <c r="N127" s="34" t="str">
        <f aca="false">IF(H127="","",K127*IF(E127="업비트",운용규칙!$B$5,운용규칙!$B$6)+L127*IF(F127="업비트",운용규칙!$B$5,운용규칙!$B$6))</f>
        <v/>
      </c>
      <c r="O127" s="34" t="str">
        <f aca="false">IF(H127="","",L127-K127-N127)</f>
        <v/>
      </c>
      <c r="P127" s="35" t="str">
        <f aca="false">IF(H127="","",O127/K127*10000)</f>
        <v/>
      </c>
      <c r="Q127" s="35" t="str">
        <f aca="false">IF(OR(H127="",G127=""),"",G127-P127)</f>
        <v/>
      </c>
      <c r="R127" s="36" t="str">
        <f aca="false">IF(H127="","",IF(OR(G127&lt;운용규칙!$B$8,K127&gt;운용규칙!$B$7),"위반","OK"))</f>
        <v/>
      </c>
      <c r="S127" s="28"/>
    </row>
    <row r="128" customFormat="false" ht="15" hidden="false" customHeight="false" outlineLevel="0" collapsed="false">
      <c r="A128" s="28"/>
      <c r="B128" s="29"/>
      <c r="C128" s="30"/>
      <c r="D128" s="28"/>
      <c r="E128" s="28"/>
      <c r="F128" s="28"/>
      <c r="G128" s="31"/>
      <c r="H128" s="32"/>
      <c r="I128" s="33"/>
      <c r="J128" s="33"/>
      <c r="K128" s="34" t="str">
        <f aca="false">IF(H128="","",H128*I128)</f>
        <v/>
      </c>
      <c r="L128" s="34" t="str">
        <f aca="false">IF(H128="","",H128*J128)</f>
        <v/>
      </c>
      <c r="M128" s="35" t="str">
        <f aca="false">IF(H128="","",(L128-K128)/K128*10000)</f>
        <v/>
      </c>
      <c r="N128" s="34" t="str">
        <f aca="false">IF(H128="","",K128*IF(E128="업비트",운용규칙!$B$5,운용규칙!$B$6)+L128*IF(F128="업비트",운용규칙!$B$5,운용규칙!$B$6))</f>
        <v/>
      </c>
      <c r="O128" s="34" t="str">
        <f aca="false">IF(H128="","",L128-K128-N128)</f>
        <v/>
      </c>
      <c r="P128" s="35" t="str">
        <f aca="false">IF(H128="","",O128/K128*10000)</f>
        <v/>
      </c>
      <c r="Q128" s="35" t="str">
        <f aca="false">IF(OR(H128="",G128=""),"",G128-P128)</f>
        <v/>
      </c>
      <c r="R128" s="36" t="str">
        <f aca="false">IF(H128="","",IF(OR(G128&lt;운용규칙!$B$8,K128&gt;운용규칙!$B$7),"위반","OK"))</f>
        <v/>
      </c>
      <c r="S128" s="28"/>
    </row>
    <row r="129" customFormat="false" ht="15" hidden="false" customHeight="false" outlineLevel="0" collapsed="false">
      <c r="A129" s="28"/>
      <c r="B129" s="29"/>
      <c r="C129" s="30"/>
      <c r="D129" s="28"/>
      <c r="E129" s="28"/>
      <c r="F129" s="28"/>
      <c r="G129" s="31"/>
      <c r="H129" s="32"/>
      <c r="I129" s="33"/>
      <c r="J129" s="33"/>
      <c r="K129" s="34" t="str">
        <f aca="false">IF(H129="","",H129*I129)</f>
        <v/>
      </c>
      <c r="L129" s="34" t="str">
        <f aca="false">IF(H129="","",H129*J129)</f>
        <v/>
      </c>
      <c r="M129" s="35" t="str">
        <f aca="false">IF(H129="","",(L129-K129)/K129*10000)</f>
        <v/>
      </c>
      <c r="N129" s="34" t="str">
        <f aca="false">IF(H129="","",K129*IF(E129="업비트",운용규칙!$B$5,운용규칙!$B$6)+L129*IF(F129="업비트",운용규칙!$B$5,운용규칙!$B$6))</f>
        <v/>
      </c>
      <c r="O129" s="34" t="str">
        <f aca="false">IF(H129="","",L129-K129-N129)</f>
        <v/>
      </c>
      <c r="P129" s="35" t="str">
        <f aca="false">IF(H129="","",O129/K129*10000)</f>
        <v/>
      </c>
      <c r="Q129" s="35" t="str">
        <f aca="false">IF(OR(H129="",G129=""),"",G129-P129)</f>
        <v/>
      </c>
      <c r="R129" s="36" t="str">
        <f aca="false">IF(H129="","",IF(OR(G129&lt;운용규칙!$B$8,K129&gt;운용규칙!$B$7),"위반","OK"))</f>
        <v/>
      </c>
      <c r="S129" s="28"/>
    </row>
    <row r="130" customFormat="false" ht="15" hidden="false" customHeight="false" outlineLevel="0" collapsed="false">
      <c r="A130" s="28"/>
      <c r="B130" s="29"/>
      <c r="C130" s="30"/>
      <c r="D130" s="28"/>
      <c r="E130" s="28"/>
      <c r="F130" s="28"/>
      <c r="G130" s="31"/>
      <c r="H130" s="32"/>
      <c r="I130" s="33"/>
      <c r="J130" s="33"/>
      <c r="K130" s="34" t="str">
        <f aca="false">IF(H130="","",H130*I130)</f>
        <v/>
      </c>
      <c r="L130" s="34" t="str">
        <f aca="false">IF(H130="","",H130*J130)</f>
        <v/>
      </c>
      <c r="M130" s="35" t="str">
        <f aca="false">IF(H130="","",(L130-K130)/K130*10000)</f>
        <v/>
      </c>
      <c r="N130" s="34" t="str">
        <f aca="false">IF(H130="","",K130*IF(E130="업비트",운용규칙!$B$5,운용규칙!$B$6)+L130*IF(F130="업비트",운용규칙!$B$5,운용규칙!$B$6))</f>
        <v/>
      </c>
      <c r="O130" s="34" t="str">
        <f aca="false">IF(H130="","",L130-K130-N130)</f>
        <v/>
      </c>
      <c r="P130" s="35" t="str">
        <f aca="false">IF(H130="","",O130/K130*10000)</f>
        <v/>
      </c>
      <c r="Q130" s="35" t="str">
        <f aca="false">IF(OR(H130="",G130=""),"",G130-P130)</f>
        <v/>
      </c>
      <c r="R130" s="36" t="str">
        <f aca="false">IF(H130="","",IF(OR(G130&lt;운용규칙!$B$8,K130&gt;운용규칙!$B$7),"위반","OK"))</f>
        <v/>
      </c>
      <c r="S130" s="28"/>
    </row>
    <row r="131" customFormat="false" ht="15" hidden="false" customHeight="false" outlineLevel="0" collapsed="false">
      <c r="A131" s="28"/>
      <c r="B131" s="29"/>
      <c r="C131" s="30"/>
      <c r="D131" s="28"/>
      <c r="E131" s="28"/>
      <c r="F131" s="28"/>
      <c r="G131" s="31"/>
      <c r="H131" s="32"/>
      <c r="I131" s="33"/>
      <c r="J131" s="33"/>
      <c r="K131" s="34" t="str">
        <f aca="false">IF(H131="","",H131*I131)</f>
        <v/>
      </c>
      <c r="L131" s="34" t="str">
        <f aca="false">IF(H131="","",H131*J131)</f>
        <v/>
      </c>
      <c r="M131" s="35" t="str">
        <f aca="false">IF(H131="","",(L131-K131)/K131*10000)</f>
        <v/>
      </c>
      <c r="N131" s="34" t="str">
        <f aca="false">IF(H131="","",K131*IF(E131="업비트",운용규칙!$B$5,운용규칙!$B$6)+L131*IF(F131="업비트",운용규칙!$B$5,운용규칙!$B$6))</f>
        <v/>
      </c>
      <c r="O131" s="34" t="str">
        <f aca="false">IF(H131="","",L131-K131-N131)</f>
        <v/>
      </c>
      <c r="P131" s="35" t="str">
        <f aca="false">IF(H131="","",O131/K131*10000)</f>
        <v/>
      </c>
      <c r="Q131" s="35" t="str">
        <f aca="false">IF(OR(H131="",G131=""),"",G131-P131)</f>
        <v/>
      </c>
      <c r="R131" s="36" t="str">
        <f aca="false">IF(H131="","",IF(OR(G131&lt;운용규칙!$B$8,K131&gt;운용규칙!$B$7),"위반","OK"))</f>
        <v/>
      </c>
      <c r="S131" s="28"/>
    </row>
    <row r="132" customFormat="false" ht="15" hidden="false" customHeight="false" outlineLevel="0" collapsed="false">
      <c r="A132" s="28"/>
      <c r="B132" s="29"/>
      <c r="C132" s="30"/>
      <c r="D132" s="28"/>
      <c r="E132" s="28"/>
      <c r="F132" s="28"/>
      <c r="G132" s="31"/>
      <c r="H132" s="32"/>
      <c r="I132" s="33"/>
      <c r="J132" s="33"/>
      <c r="K132" s="34" t="str">
        <f aca="false">IF(H132="","",H132*I132)</f>
        <v/>
      </c>
      <c r="L132" s="34" t="str">
        <f aca="false">IF(H132="","",H132*J132)</f>
        <v/>
      </c>
      <c r="M132" s="35" t="str">
        <f aca="false">IF(H132="","",(L132-K132)/K132*10000)</f>
        <v/>
      </c>
      <c r="N132" s="34" t="str">
        <f aca="false">IF(H132="","",K132*IF(E132="업비트",운용규칙!$B$5,운용규칙!$B$6)+L132*IF(F132="업비트",운용규칙!$B$5,운용규칙!$B$6))</f>
        <v/>
      </c>
      <c r="O132" s="34" t="str">
        <f aca="false">IF(H132="","",L132-K132-N132)</f>
        <v/>
      </c>
      <c r="P132" s="35" t="str">
        <f aca="false">IF(H132="","",O132/K132*10000)</f>
        <v/>
      </c>
      <c r="Q132" s="35" t="str">
        <f aca="false">IF(OR(H132="",G132=""),"",G132-P132)</f>
        <v/>
      </c>
      <c r="R132" s="36" t="str">
        <f aca="false">IF(H132="","",IF(OR(G132&lt;운용규칙!$B$8,K132&gt;운용규칙!$B$7),"위반","OK"))</f>
        <v/>
      </c>
      <c r="S132" s="28"/>
    </row>
    <row r="133" customFormat="false" ht="15" hidden="false" customHeight="false" outlineLevel="0" collapsed="false">
      <c r="A133" s="28"/>
      <c r="B133" s="29"/>
      <c r="C133" s="30"/>
      <c r="D133" s="28"/>
      <c r="E133" s="28"/>
      <c r="F133" s="28"/>
      <c r="G133" s="31"/>
      <c r="H133" s="32"/>
      <c r="I133" s="33"/>
      <c r="J133" s="33"/>
      <c r="K133" s="34" t="str">
        <f aca="false">IF(H133="","",H133*I133)</f>
        <v/>
      </c>
      <c r="L133" s="34" t="str">
        <f aca="false">IF(H133="","",H133*J133)</f>
        <v/>
      </c>
      <c r="M133" s="35" t="str">
        <f aca="false">IF(H133="","",(L133-K133)/K133*10000)</f>
        <v/>
      </c>
      <c r="N133" s="34" t="str">
        <f aca="false">IF(H133="","",K133*IF(E133="업비트",운용규칙!$B$5,운용규칙!$B$6)+L133*IF(F133="업비트",운용규칙!$B$5,운용규칙!$B$6))</f>
        <v/>
      </c>
      <c r="O133" s="34" t="str">
        <f aca="false">IF(H133="","",L133-K133-N133)</f>
        <v/>
      </c>
      <c r="P133" s="35" t="str">
        <f aca="false">IF(H133="","",O133/K133*10000)</f>
        <v/>
      </c>
      <c r="Q133" s="35" t="str">
        <f aca="false">IF(OR(H133="",G133=""),"",G133-P133)</f>
        <v/>
      </c>
      <c r="R133" s="36" t="str">
        <f aca="false">IF(H133="","",IF(OR(G133&lt;운용규칙!$B$8,K133&gt;운용규칙!$B$7),"위반","OK"))</f>
        <v/>
      </c>
      <c r="S133" s="28"/>
    </row>
    <row r="134" customFormat="false" ht="15" hidden="false" customHeight="false" outlineLevel="0" collapsed="false">
      <c r="A134" s="28"/>
      <c r="B134" s="29"/>
      <c r="C134" s="30"/>
      <c r="D134" s="28"/>
      <c r="E134" s="28"/>
      <c r="F134" s="28"/>
      <c r="G134" s="31"/>
      <c r="H134" s="32"/>
      <c r="I134" s="33"/>
      <c r="J134" s="33"/>
      <c r="K134" s="34" t="str">
        <f aca="false">IF(H134="","",H134*I134)</f>
        <v/>
      </c>
      <c r="L134" s="34" t="str">
        <f aca="false">IF(H134="","",H134*J134)</f>
        <v/>
      </c>
      <c r="M134" s="35" t="str">
        <f aca="false">IF(H134="","",(L134-K134)/K134*10000)</f>
        <v/>
      </c>
      <c r="N134" s="34" t="str">
        <f aca="false">IF(H134="","",K134*IF(E134="업비트",운용규칙!$B$5,운용규칙!$B$6)+L134*IF(F134="업비트",운용규칙!$B$5,운용규칙!$B$6))</f>
        <v/>
      </c>
      <c r="O134" s="34" t="str">
        <f aca="false">IF(H134="","",L134-K134-N134)</f>
        <v/>
      </c>
      <c r="P134" s="35" t="str">
        <f aca="false">IF(H134="","",O134/K134*10000)</f>
        <v/>
      </c>
      <c r="Q134" s="35" t="str">
        <f aca="false">IF(OR(H134="",G134=""),"",G134-P134)</f>
        <v/>
      </c>
      <c r="R134" s="36" t="str">
        <f aca="false">IF(H134="","",IF(OR(G134&lt;운용규칙!$B$8,K134&gt;운용규칙!$B$7),"위반","OK"))</f>
        <v/>
      </c>
      <c r="S134" s="28"/>
    </row>
    <row r="135" customFormat="false" ht="15" hidden="false" customHeight="false" outlineLevel="0" collapsed="false">
      <c r="A135" s="28"/>
      <c r="B135" s="29"/>
      <c r="C135" s="30"/>
      <c r="D135" s="28"/>
      <c r="E135" s="28"/>
      <c r="F135" s="28"/>
      <c r="G135" s="31"/>
      <c r="H135" s="32"/>
      <c r="I135" s="33"/>
      <c r="J135" s="33"/>
      <c r="K135" s="34" t="str">
        <f aca="false">IF(H135="","",H135*I135)</f>
        <v/>
      </c>
      <c r="L135" s="34" t="str">
        <f aca="false">IF(H135="","",H135*J135)</f>
        <v/>
      </c>
      <c r="M135" s="35" t="str">
        <f aca="false">IF(H135="","",(L135-K135)/K135*10000)</f>
        <v/>
      </c>
      <c r="N135" s="34" t="str">
        <f aca="false">IF(H135="","",K135*IF(E135="업비트",운용규칙!$B$5,운용규칙!$B$6)+L135*IF(F135="업비트",운용규칙!$B$5,운용규칙!$B$6))</f>
        <v/>
      </c>
      <c r="O135" s="34" t="str">
        <f aca="false">IF(H135="","",L135-K135-N135)</f>
        <v/>
      </c>
      <c r="P135" s="35" t="str">
        <f aca="false">IF(H135="","",O135/K135*10000)</f>
        <v/>
      </c>
      <c r="Q135" s="35" t="str">
        <f aca="false">IF(OR(H135="",G135=""),"",G135-P135)</f>
        <v/>
      </c>
      <c r="R135" s="36" t="str">
        <f aca="false">IF(H135="","",IF(OR(G135&lt;운용규칙!$B$8,K135&gt;운용규칙!$B$7),"위반","OK"))</f>
        <v/>
      </c>
      <c r="S135" s="28"/>
    </row>
    <row r="136" customFormat="false" ht="15" hidden="false" customHeight="false" outlineLevel="0" collapsed="false">
      <c r="A136" s="28"/>
      <c r="B136" s="29"/>
      <c r="C136" s="30"/>
      <c r="D136" s="28"/>
      <c r="E136" s="28"/>
      <c r="F136" s="28"/>
      <c r="G136" s="31"/>
      <c r="H136" s="32"/>
      <c r="I136" s="33"/>
      <c r="J136" s="33"/>
      <c r="K136" s="34" t="str">
        <f aca="false">IF(H136="","",H136*I136)</f>
        <v/>
      </c>
      <c r="L136" s="34" t="str">
        <f aca="false">IF(H136="","",H136*J136)</f>
        <v/>
      </c>
      <c r="M136" s="35" t="str">
        <f aca="false">IF(H136="","",(L136-K136)/K136*10000)</f>
        <v/>
      </c>
      <c r="N136" s="34" t="str">
        <f aca="false">IF(H136="","",K136*IF(E136="업비트",운용규칙!$B$5,운용규칙!$B$6)+L136*IF(F136="업비트",운용규칙!$B$5,운용규칙!$B$6))</f>
        <v/>
      </c>
      <c r="O136" s="34" t="str">
        <f aca="false">IF(H136="","",L136-K136-N136)</f>
        <v/>
      </c>
      <c r="P136" s="35" t="str">
        <f aca="false">IF(H136="","",O136/K136*10000)</f>
        <v/>
      </c>
      <c r="Q136" s="35" t="str">
        <f aca="false">IF(OR(H136="",G136=""),"",G136-P136)</f>
        <v/>
      </c>
      <c r="R136" s="36" t="str">
        <f aca="false">IF(H136="","",IF(OR(G136&lt;운용규칙!$B$8,K136&gt;운용규칙!$B$7),"위반","OK"))</f>
        <v/>
      </c>
      <c r="S136" s="28"/>
    </row>
    <row r="137" customFormat="false" ht="15" hidden="false" customHeight="false" outlineLevel="0" collapsed="false">
      <c r="A137" s="28"/>
      <c r="B137" s="29"/>
      <c r="C137" s="30"/>
      <c r="D137" s="28"/>
      <c r="E137" s="28"/>
      <c r="F137" s="28"/>
      <c r="G137" s="31"/>
      <c r="H137" s="32"/>
      <c r="I137" s="33"/>
      <c r="J137" s="33"/>
      <c r="K137" s="34" t="str">
        <f aca="false">IF(H137="","",H137*I137)</f>
        <v/>
      </c>
      <c r="L137" s="34" t="str">
        <f aca="false">IF(H137="","",H137*J137)</f>
        <v/>
      </c>
      <c r="M137" s="35" t="str">
        <f aca="false">IF(H137="","",(L137-K137)/K137*10000)</f>
        <v/>
      </c>
      <c r="N137" s="34" t="str">
        <f aca="false">IF(H137="","",K137*IF(E137="업비트",운용규칙!$B$5,운용규칙!$B$6)+L137*IF(F137="업비트",운용규칙!$B$5,운용규칙!$B$6))</f>
        <v/>
      </c>
      <c r="O137" s="34" t="str">
        <f aca="false">IF(H137="","",L137-K137-N137)</f>
        <v/>
      </c>
      <c r="P137" s="35" t="str">
        <f aca="false">IF(H137="","",O137/K137*10000)</f>
        <v/>
      </c>
      <c r="Q137" s="35" t="str">
        <f aca="false">IF(OR(H137="",G137=""),"",G137-P137)</f>
        <v/>
      </c>
      <c r="R137" s="36" t="str">
        <f aca="false">IF(H137="","",IF(OR(G137&lt;운용규칙!$B$8,K137&gt;운용규칙!$B$7),"위반","OK"))</f>
        <v/>
      </c>
      <c r="S137" s="28"/>
    </row>
    <row r="138" customFormat="false" ht="15" hidden="false" customHeight="false" outlineLevel="0" collapsed="false">
      <c r="A138" s="28"/>
      <c r="B138" s="29"/>
      <c r="C138" s="30"/>
      <c r="D138" s="28"/>
      <c r="E138" s="28"/>
      <c r="F138" s="28"/>
      <c r="G138" s="31"/>
      <c r="H138" s="32"/>
      <c r="I138" s="33"/>
      <c r="J138" s="33"/>
      <c r="K138" s="34" t="str">
        <f aca="false">IF(H138="","",H138*I138)</f>
        <v/>
      </c>
      <c r="L138" s="34" t="str">
        <f aca="false">IF(H138="","",H138*J138)</f>
        <v/>
      </c>
      <c r="M138" s="35" t="str">
        <f aca="false">IF(H138="","",(L138-K138)/K138*10000)</f>
        <v/>
      </c>
      <c r="N138" s="34" t="str">
        <f aca="false">IF(H138="","",K138*IF(E138="업비트",운용규칙!$B$5,운용규칙!$B$6)+L138*IF(F138="업비트",운용규칙!$B$5,운용규칙!$B$6))</f>
        <v/>
      </c>
      <c r="O138" s="34" t="str">
        <f aca="false">IF(H138="","",L138-K138-N138)</f>
        <v/>
      </c>
      <c r="P138" s="35" t="str">
        <f aca="false">IF(H138="","",O138/K138*10000)</f>
        <v/>
      </c>
      <c r="Q138" s="35" t="str">
        <f aca="false">IF(OR(H138="",G138=""),"",G138-P138)</f>
        <v/>
      </c>
      <c r="R138" s="36" t="str">
        <f aca="false">IF(H138="","",IF(OR(G138&lt;운용규칙!$B$8,K138&gt;운용규칙!$B$7),"위반","OK"))</f>
        <v/>
      </c>
      <c r="S138" s="28"/>
    </row>
    <row r="139" customFormat="false" ht="15" hidden="false" customHeight="false" outlineLevel="0" collapsed="false">
      <c r="A139" s="28"/>
      <c r="B139" s="29"/>
      <c r="C139" s="30"/>
      <c r="D139" s="28"/>
      <c r="E139" s="28"/>
      <c r="F139" s="28"/>
      <c r="G139" s="31"/>
      <c r="H139" s="32"/>
      <c r="I139" s="33"/>
      <c r="J139" s="33"/>
      <c r="K139" s="34" t="str">
        <f aca="false">IF(H139="","",H139*I139)</f>
        <v/>
      </c>
      <c r="L139" s="34" t="str">
        <f aca="false">IF(H139="","",H139*J139)</f>
        <v/>
      </c>
      <c r="M139" s="35" t="str">
        <f aca="false">IF(H139="","",(L139-K139)/K139*10000)</f>
        <v/>
      </c>
      <c r="N139" s="34" t="str">
        <f aca="false">IF(H139="","",K139*IF(E139="업비트",운용규칙!$B$5,운용규칙!$B$6)+L139*IF(F139="업비트",운용규칙!$B$5,운용규칙!$B$6))</f>
        <v/>
      </c>
      <c r="O139" s="34" t="str">
        <f aca="false">IF(H139="","",L139-K139-N139)</f>
        <v/>
      </c>
      <c r="P139" s="35" t="str">
        <f aca="false">IF(H139="","",O139/K139*10000)</f>
        <v/>
      </c>
      <c r="Q139" s="35" t="str">
        <f aca="false">IF(OR(H139="",G139=""),"",G139-P139)</f>
        <v/>
      </c>
      <c r="R139" s="36" t="str">
        <f aca="false">IF(H139="","",IF(OR(G139&lt;운용규칙!$B$8,K139&gt;운용규칙!$B$7),"위반","OK"))</f>
        <v/>
      </c>
      <c r="S139" s="28"/>
    </row>
    <row r="140" customFormat="false" ht="15" hidden="false" customHeight="false" outlineLevel="0" collapsed="false">
      <c r="A140" s="28"/>
      <c r="B140" s="29"/>
      <c r="C140" s="30"/>
      <c r="D140" s="28"/>
      <c r="E140" s="28"/>
      <c r="F140" s="28"/>
      <c r="G140" s="31"/>
      <c r="H140" s="32"/>
      <c r="I140" s="33"/>
      <c r="J140" s="33"/>
      <c r="K140" s="34" t="str">
        <f aca="false">IF(H140="","",H140*I140)</f>
        <v/>
      </c>
      <c r="L140" s="34" t="str">
        <f aca="false">IF(H140="","",H140*J140)</f>
        <v/>
      </c>
      <c r="M140" s="35" t="str">
        <f aca="false">IF(H140="","",(L140-K140)/K140*10000)</f>
        <v/>
      </c>
      <c r="N140" s="34" t="str">
        <f aca="false">IF(H140="","",K140*IF(E140="업비트",운용규칙!$B$5,운용규칙!$B$6)+L140*IF(F140="업비트",운용규칙!$B$5,운용규칙!$B$6))</f>
        <v/>
      </c>
      <c r="O140" s="34" t="str">
        <f aca="false">IF(H140="","",L140-K140-N140)</f>
        <v/>
      </c>
      <c r="P140" s="35" t="str">
        <f aca="false">IF(H140="","",O140/K140*10000)</f>
        <v/>
      </c>
      <c r="Q140" s="35" t="str">
        <f aca="false">IF(OR(H140="",G140=""),"",G140-P140)</f>
        <v/>
      </c>
      <c r="R140" s="36" t="str">
        <f aca="false">IF(H140="","",IF(OR(G140&lt;운용규칙!$B$8,K140&gt;운용규칙!$B$7),"위반","OK"))</f>
        <v/>
      </c>
      <c r="S140" s="28"/>
    </row>
    <row r="141" customFormat="false" ht="15" hidden="false" customHeight="false" outlineLevel="0" collapsed="false">
      <c r="A141" s="28"/>
      <c r="B141" s="29"/>
      <c r="C141" s="30"/>
      <c r="D141" s="28"/>
      <c r="E141" s="28"/>
      <c r="F141" s="28"/>
      <c r="G141" s="31"/>
      <c r="H141" s="32"/>
      <c r="I141" s="33"/>
      <c r="J141" s="33"/>
      <c r="K141" s="34" t="str">
        <f aca="false">IF(H141="","",H141*I141)</f>
        <v/>
      </c>
      <c r="L141" s="34" t="str">
        <f aca="false">IF(H141="","",H141*J141)</f>
        <v/>
      </c>
      <c r="M141" s="35" t="str">
        <f aca="false">IF(H141="","",(L141-K141)/K141*10000)</f>
        <v/>
      </c>
      <c r="N141" s="34" t="str">
        <f aca="false">IF(H141="","",K141*IF(E141="업비트",운용규칙!$B$5,운용규칙!$B$6)+L141*IF(F141="업비트",운용규칙!$B$5,운용규칙!$B$6))</f>
        <v/>
      </c>
      <c r="O141" s="34" t="str">
        <f aca="false">IF(H141="","",L141-K141-N141)</f>
        <v/>
      </c>
      <c r="P141" s="35" t="str">
        <f aca="false">IF(H141="","",O141/K141*10000)</f>
        <v/>
      </c>
      <c r="Q141" s="35" t="str">
        <f aca="false">IF(OR(H141="",G141=""),"",G141-P141)</f>
        <v/>
      </c>
      <c r="R141" s="36" t="str">
        <f aca="false">IF(H141="","",IF(OR(G141&lt;운용규칙!$B$8,K141&gt;운용규칙!$B$7),"위반","OK"))</f>
        <v/>
      </c>
      <c r="S141" s="28"/>
    </row>
    <row r="142" customFormat="false" ht="15" hidden="false" customHeight="false" outlineLevel="0" collapsed="false">
      <c r="A142" s="28"/>
      <c r="B142" s="29"/>
      <c r="C142" s="30"/>
      <c r="D142" s="28"/>
      <c r="E142" s="28"/>
      <c r="F142" s="28"/>
      <c r="G142" s="31"/>
      <c r="H142" s="32"/>
      <c r="I142" s="33"/>
      <c r="J142" s="33"/>
      <c r="K142" s="34" t="str">
        <f aca="false">IF(H142="","",H142*I142)</f>
        <v/>
      </c>
      <c r="L142" s="34" t="str">
        <f aca="false">IF(H142="","",H142*J142)</f>
        <v/>
      </c>
      <c r="M142" s="35" t="str">
        <f aca="false">IF(H142="","",(L142-K142)/K142*10000)</f>
        <v/>
      </c>
      <c r="N142" s="34" t="str">
        <f aca="false">IF(H142="","",K142*IF(E142="업비트",운용규칙!$B$5,운용규칙!$B$6)+L142*IF(F142="업비트",운용규칙!$B$5,운용규칙!$B$6))</f>
        <v/>
      </c>
      <c r="O142" s="34" t="str">
        <f aca="false">IF(H142="","",L142-K142-N142)</f>
        <v/>
      </c>
      <c r="P142" s="35" t="str">
        <f aca="false">IF(H142="","",O142/K142*10000)</f>
        <v/>
      </c>
      <c r="Q142" s="35" t="str">
        <f aca="false">IF(OR(H142="",G142=""),"",G142-P142)</f>
        <v/>
      </c>
      <c r="R142" s="36" t="str">
        <f aca="false">IF(H142="","",IF(OR(G142&lt;운용규칙!$B$8,K142&gt;운용규칙!$B$7),"위반","OK"))</f>
        <v/>
      </c>
      <c r="S142" s="28"/>
    </row>
    <row r="143" customFormat="false" ht="15" hidden="false" customHeight="false" outlineLevel="0" collapsed="false">
      <c r="A143" s="28"/>
      <c r="B143" s="29"/>
      <c r="C143" s="30"/>
      <c r="D143" s="28"/>
      <c r="E143" s="28"/>
      <c r="F143" s="28"/>
      <c r="G143" s="31"/>
      <c r="H143" s="32"/>
      <c r="I143" s="33"/>
      <c r="J143" s="33"/>
      <c r="K143" s="34" t="str">
        <f aca="false">IF(H143="","",H143*I143)</f>
        <v/>
      </c>
      <c r="L143" s="34" t="str">
        <f aca="false">IF(H143="","",H143*J143)</f>
        <v/>
      </c>
      <c r="M143" s="35" t="str">
        <f aca="false">IF(H143="","",(L143-K143)/K143*10000)</f>
        <v/>
      </c>
      <c r="N143" s="34" t="str">
        <f aca="false">IF(H143="","",K143*IF(E143="업비트",운용규칙!$B$5,운용규칙!$B$6)+L143*IF(F143="업비트",운용규칙!$B$5,운용규칙!$B$6))</f>
        <v/>
      </c>
      <c r="O143" s="34" t="str">
        <f aca="false">IF(H143="","",L143-K143-N143)</f>
        <v/>
      </c>
      <c r="P143" s="35" t="str">
        <f aca="false">IF(H143="","",O143/K143*10000)</f>
        <v/>
      </c>
      <c r="Q143" s="35" t="str">
        <f aca="false">IF(OR(H143="",G143=""),"",G143-P143)</f>
        <v/>
      </c>
      <c r="R143" s="36" t="str">
        <f aca="false">IF(H143="","",IF(OR(G143&lt;운용규칙!$B$8,K143&gt;운용규칙!$B$7),"위반","OK"))</f>
        <v/>
      </c>
      <c r="S143" s="28"/>
    </row>
    <row r="144" customFormat="false" ht="15" hidden="false" customHeight="false" outlineLevel="0" collapsed="false">
      <c r="A144" s="28"/>
      <c r="B144" s="29"/>
      <c r="C144" s="30"/>
      <c r="D144" s="28"/>
      <c r="E144" s="28"/>
      <c r="F144" s="28"/>
      <c r="G144" s="31"/>
      <c r="H144" s="32"/>
      <c r="I144" s="33"/>
      <c r="J144" s="33"/>
      <c r="K144" s="34" t="str">
        <f aca="false">IF(H144="","",H144*I144)</f>
        <v/>
      </c>
      <c r="L144" s="34" t="str">
        <f aca="false">IF(H144="","",H144*J144)</f>
        <v/>
      </c>
      <c r="M144" s="35" t="str">
        <f aca="false">IF(H144="","",(L144-K144)/K144*10000)</f>
        <v/>
      </c>
      <c r="N144" s="34" t="str">
        <f aca="false">IF(H144="","",K144*IF(E144="업비트",운용규칙!$B$5,운용규칙!$B$6)+L144*IF(F144="업비트",운용규칙!$B$5,운용규칙!$B$6))</f>
        <v/>
      </c>
      <c r="O144" s="34" t="str">
        <f aca="false">IF(H144="","",L144-K144-N144)</f>
        <v/>
      </c>
      <c r="P144" s="35" t="str">
        <f aca="false">IF(H144="","",O144/K144*10000)</f>
        <v/>
      </c>
      <c r="Q144" s="35" t="str">
        <f aca="false">IF(OR(H144="",G144=""),"",G144-P144)</f>
        <v/>
      </c>
      <c r="R144" s="36" t="str">
        <f aca="false">IF(H144="","",IF(OR(G144&lt;운용규칙!$B$8,K144&gt;운용규칙!$B$7),"위반","OK"))</f>
        <v/>
      </c>
      <c r="S144" s="28"/>
    </row>
    <row r="145" customFormat="false" ht="15" hidden="false" customHeight="false" outlineLevel="0" collapsed="false">
      <c r="A145" s="28"/>
      <c r="B145" s="29"/>
      <c r="C145" s="30"/>
      <c r="D145" s="28"/>
      <c r="E145" s="28"/>
      <c r="F145" s="28"/>
      <c r="G145" s="31"/>
      <c r="H145" s="32"/>
      <c r="I145" s="33"/>
      <c r="J145" s="33"/>
      <c r="K145" s="34" t="str">
        <f aca="false">IF(H145="","",H145*I145)</f>
        <v/>
      </c>
      <c r="L145" s="34" t="str">
        <f aca="false">IF(H145="","",H145*J145)</f>
        <v/>
      </c>
      <c r="M145" s="35" t="str">
        <f aca="false">IF(H145="","",(L145-K145)/K145*10000)</f>
        <v/>
      </c>
      <c r="N145" s="34" t="str">
        <f aca="false">IF(H145="","",K145*IF(E145="업비트",운용규칙!$B$5,운용규칙!$B$6)+L145*IF(F145="업비트",운용규칙!$B$5,운용규칙!$B$6))</f>
        <v/>
      </c>
      <c r="O145" s="34" t="str">
        <f aca="false">IF(H145="","",L145-K145-N145)</f>
        <v/>
      </c>
      <c r="P145" s="35" t="str">
        <f aca="false">IF(H145="","",O145/K145*10000)</f>
        <v/>
      </c>
      <c r="Q145" s="35" t="str">
        <f aca="false">IF(OR(H145="",G145=""),"",G145-P145)</f>
        <v/>
      </c>
      <c r="R145" s="36" t="str">
        <f aca="false">IF(H145="","",IF(OR(G145&lt;운용규칙!$B$8,K145&gt;운용규칙!$B$7),"위반","OK"))</f>
        <v/>
      </c>
      <c r="S145" s="28"/>
    </row>
    <row r="146" customFormat="false" ht="15" hidden="false" customHeight="false" outlineLevel="0" collapsed="false">
      <c r="A146" s="28"/>
      <c r="B146" s="29"/>
      <c r="C146" s="30"/>
      <c r="D146" s="28"/>
      <c r="E146" s="28"/>
      <c r="F146" s="28"/>
      <c r="G146" s="31"/>
      <c r="H146" s="32"/>
      <c r="I146" s="33"/>
      <c r="J146" s="33"/>
      <c r="K146" s="34" t="str">
        <f aca="false">IF(H146="","",H146*I146)</f>
        <v/>
      </c>
      <c r="L146" s="34" t="str">
        <f aca="false">IF(H146="","",H146*J146)</f>
        <v/>
      </c>
      <c r="M146" s="35" t="str">
        <f aca="false">IF(H146="","",(L146-K146)/K146*10000)</f>
        <v/>
      </c>
      <c r="N146" s="34" t="str">
        <f aca="false">IF(H146="","",K146*IF(E146="업비트",운용규칙!$B$5,운용규칙!$B$6)+L146*IF(F146="업비트",운용규칙!$B$5,운용규칙!$B$6))</f>
        <v/>
      </c>
      <c r="O146" s="34" t="str">
        <f aca="false">IF(H146="","",L146-K146-N146)</f>
        <v/>
      </c>
      <c r="P146" s="35" t="str">
        <f aca="false">IF(H146="","",O146/K146*10000)</f>
        <v/>
      </c>
      <c r="Q146" s="35" t="str">
        <f aca="false">IF(OR(H146="",G146=""),"",G146-P146)</f>
        <v/>
      </c>
      <c r="R146" s="36" t="str">
        <f aca="false">IF(H146="","",IF(OR(G146&lt;운용규칙!$B$8,K146&gt;운용규칙!$B$7),"위반","OK"))</f>
        <v/>
      </c>
      <c r="S146" s="28"/>
    </row>
    <row r="147" customFormat="false" ht="15" hidden="false" customHeight="false" outlineLevel="0" collapsed="false">
      <c r="A147" s="28"/>
      <c r="B147" s="29"/>
      <c r="C147" s="30"/>
      <c r="D147" s="28"/>
      <c r="E147" s="28"/>
      <c r="F147" s="28"/>
      <c r="G147" s="31"/>
      <c r="H147" s="32"/>
      <c r="I147" s="33"/>
      <c r="J147" s="33"/>
      <c r="K147" s="34" t="str">
        <f aca="false">IF(H147="","",H147*I147)</f>
        <v/>
      </c>
      <c r="L147" s="34" t="str">
        <f aca="false">IF(H147="","",H147*J147)</f>
        <v/>
      </c>
      <c r="M147" s="35" t="str">
        <f aca="false">IF(H147="","",(L147-K147)/K147*10000)</f>
        <v/>
      </c>
      <c r="N147" s="34" t="str">
        <f aca="false">IF(H147="","",K147*IF(E147="업비트",운용규칙!$B$5,운용규칙!$B$6)+L147*IF(F147="업비트",운용규칙!$B$5,운용규칙!$B$6))</f>
        <v/>
      </c>
      <c r="O147" s="34" t="str">
        <f aca="false">IF(H147="","",L147-K147-N147)</f>
        <v/>
      </c>
      <c r="P147" s="35" t="str">
        <f aca="false">IF(H147="","",O147/K147*10000)</f>
        <v/>
      </c>
      <c r="Q147" s="35" t="str">
        <f aca="false">IF(OR(H147="",G147=""),"",G147-P147)</f>
        <v/>
      </c>
      <c r="R147" s="36" t="str">
        <f aca="false">IF(H147="","",IF(OR(G147&lt;운용규칙!$B$8,K147&gt;운용규칙!$B$7),"위반","OK"))</f>
        <v/>
      </c>
      <c r="S147" s="28"/>
    </row>
    <row r="148" customFormat="false" ht="15" hidden="false" customHeight="false" outlineLevel="0" collapsed="false">
      <c r="A148" s="28"/>
      <c r="B148" s="29"/>
      <c r="C148" s="30"/>
      <c r="D148" s="28"/>
      <c r="E148" s="28"/>
      <c r="F148" s="28"/>
      <c r="G148" s="31"/>
      <c r="H148" s="32"/>
      <c r="I148" s="33"/>
      <c r="J148" s="33"/>
      <c r="K148" s="34" t="str">
        <f aca="false">IF(H148="","",H148*I148)</f>
        <v/>
      </c>
      <c r="L148" s="34" t="str">
        <f aca="false">IF(H148="","",H148*J148)</f>
        <v/>
      </c>
      <c r="M148" s="35" t="str">
        <f aca="false">IF(H148="","",(L148-K148)/K148*10000)</f>
        <v/>
      </c>
      <c r="N148" s="34" t="str">
        <f aca="false">IF(H148="","",K148*IF(E148="업비트",운용규칙!$B$5,운용규칙!$B$6)+L148*IF(F148="업비트",운용규칙!$B$5,운용규칙!$B$6))</f>
        <v/>
      </c>
      <c r="O148" s="34" t="str">
        <f aca="false">IF(H148="","",L148-K148-N148)</f>
        <v/>
      </c>
      <c r="P148" s="35" t="str">
        <f aca="false">IF(H148="","",O148/K148*10000)</f>
        <v/>
      </c>
      <c r="Q148" s="35" t="str">
        <f aca="false">IF(OR(H148="",G148=""),"",G148-P148)</f>
        <v/>
      </c>
      <c r="R148" s="36" t="str">
        <f aca="false">IF(H148="","",IF(OR(G148&lt;운용규칙!$B$8,K148&gt;운용규칙!$B$7),"위반","OK"))</f>
        <v/>
      </c>
      <c r="S148" s="28"/>
    </row>
    <row r="149" customFormat="false" ht="15" hidden="false" customHeight="false" outlineLevel="0" collapsed="false">
      <c r="A149" s="28"/>
      <c r="B149" s="29"/>
      <c r="C149" s="30"/>
      <c r="D149" s="28"/>
      <c r="E149" s="28"/>
      <c r="F149" s="28"/>
      <c r="G149" s="31"/>
      <c r="H149" s="32"/>
      <c r="I149" s="33"/>
      <c r="J149" s="33"/>
      <c r="K149" s="34" t="str">
        <f aca="false">IF(H149="","",H149*I149)</f>
        <v/>
      </c>
      <c r="L149" s="34" t="str">
        <f aca="false">IF(H149="","",H149*J149)</f>
        <v/>
      </c>
      <c r="M149" s="35" t="str">
        <f aca="false">IF(H149="","",(L149-K149)/K149*10000)</f>
        <v/>
      </c>
      <c r="N149" s="34" t="str">
        <f aca="false">IF(H149="","",K149*IF(E149="업비트",운용규칙!$B$5,운용규칙!$B$6)+L149*IF(F149="업비트",운용규칙!$B$5,운용규칙!$B$6))</f>
        <v/>
      </c>
      <c r="O149" s="34" t="str">
        <f aca="false">IF(H149="","",L149-K149-N149)</f>
        <v/>
      </c>
      <c r="P149" s="35" t="str">
        <f aca="false">IF(H149="","",O149/K149*10000)</f>
        <v/>
      </c>
      <c r="Q149" s="35" t="str">
        <f aca="false">IF(OR(H149="",G149=""),"",G149-P149)</f>
        <v/>
      </c>
      <c r="R149" s="36" t="str">
        <f aca="false">IF(H149="","",IF(OR(G149&lt;운용규칙!$B$8,K149&gt;운용규칙!$B$7),"위반","OK"))</f>
        <v/>
      </c>
      <c r="S149" s="28"/>
    </row>
    <row r="150" customFormat="false" ht="15" hidden="false" customHeight="false" outlineLevel="0" collapsed="false">
      <c r="A150" s="28"/>
      <c r="B150" s="29"/>
      <c r="C150" s="30"/>
      <c r="D150" s="28"/>
      <c r="E150" s="28"/>
      <c r="F150" s="28"/>
      <c r="G150" s="31"/>
      <c r="H150" s="32"/>
      <c r="I150" s="33"/>
      <c r="J150" s="33"/>
      <c r="K150" s="34" t="str">
        <f aca="false">IF(H150="","",H150*I150)</f>
        <v/>
      </c>
      <c r="L150" s="34" t="str">
        <f aca="false">IF(H150="","",H150*J150)</f>
        <v/>
      </c>
      <c r="M150" s="35" t="str">
        <f aca="false">IF(H150="","",(L150-K150)/K150*10000)</f>
        <v/>
      </c>
      <c r="N150" s="34" t="str">
        <f aca="false">IF(H150="","",K150*IF(E150="업비트",운용규칙!$B$5,운용규칙!$B$6)+L150*IF(F150="업비트",운용규칙!$B$5,운용규칙!$B$6))</f>
        <v/>
      </c>
      <c r="O150" s="34" t="str">
        <f aca="false">IF(H150="","",L150-K150-N150)</f>
        <v/>
      </c>
      <c r="P150" s="35" t="str">
        <f aca="false">IF(H150="","",O150/K150*10000)</f>
        <v/>
      </c>
      <c r="Q150" s="35" t="str">
        <f aca="false">IF(OR(H150="",G150=""),"",G150-P150)</f>
        <v/>
      </c>
      <c r="R150" s="36" t="str">
        <f aca="false">IF(H150="","",IF(OR(G150&lt;운용규칙!$B$8,K150&gt;운용규칙!$B$7),"위반","OK"))</f>
        <v/>
      </c>
      <c r="S150" s="28"/>
    </row>
    <row r="151" customFormat="false" ht="15" hidden="false" customHeight="false" outlineLevel="0" collapsed="false">
      <c r="A151" s="28"/>
      <c r="B151" s="29"/>
      <c r="C151" s="30"/>
      <c r="D151" s="28"/>
      <c r="E151" s="28"/>
      <c r="F151" s="28"/>
      <c r="G151" s="31"/>
      <c r="H151" s="32"/>
      <c r="I151" s="33"/>
      <c r="J151" s="33"/>
      <c r="K151" s="34" t="str">
        <f aca="false">IF(H151="","",H151*I151)</f>
        <v/>
      </c>
      <c r="L151" s="34" t="str">
        <f aca="false">IF(H151="","",H151*J151)</f>
        <v/>
      </c>
      <c r="M151" s="35" t="str">
        <f aca="false">IF(H151="","",(L151-K151)/K151*10000)</f>
        <v/>
      </c>
      <c r="N151" s="34" t="str">
        <f aca="false">IF(H151="","",K151*IF(E151="업비트",운용규칙!$B$5,운용규칙!$B$6)+L151*IF(F151="업비트",운용규칙!$B$5,운용규칙!$B$6))</f>
        <v/>
      </c>
      <c r="O151" s="34" t="str">
        <f aca="false">IF(H151="","",L151-K151-N151)</f>
        <v/>
      </c>
      <c r="P151" s="35" t="str">
        <f aca="false">IF(H151="","",O151/K151*10000)</f>
        <v/>
      </c>
      <c r="Q151" s="35" t="str">
        <f aca="false">IF(OR(H151="",G151=""),"",G151-P151)</f>
        <v/>
      </c>
      <c r="R151" s="36" t="str">
        <f aca="false">IF(H151="","",IF(OR(G151&lt;운용규칙!$B$8,K151&gt;운용규칙!$B$7),"위반","OK"))</f>
        <v/>
      </c>
      <c r="S151" s="28"/>
    </row>
    <row r="152" customFormat="false" ht="15" hidden="false" customHeight="false" outlineLevel="0" collapsed="false">
      <c r="A152" s="28"/>
      <c r="B152" s="29"/>
      <c r="C152" s="30"/>
      <c r="D152" s="28"/>
      <c r="E152" s="28"/>
      <c r="F152" s="28"/>
      <c r="G152" s="31"/>
      <c r="H152" s="32"/>
      <c r="I152" s="33"/>
      <c r="J152" s="33"/>
      <c r="K152" s="34" t="str">
        <f aca="false">IF(H152="","",H152*I152)</f>
        <v/>
      </c>
      <c r="L152" s="34" t="str">
        <f aca="false">IF(H152="","",H152*J152)</f>
        <v/>
      </c>
      <c r="M152" s="35" t="str">
        <f aca="false">IF(H152="","",(L152-K152)/K152*10000)</f>
        <v/>
      </c>
      <c r="N152" s="34" t="str">
        <f aca="false">IF(H152="","",K152*IF(E152="업비트",운용규칙!$B$5,운용규칙!$B$6)+L152*IF(F152="업비트",운용규칙!$B$5,운용규칙!$B$6))</f>
        <v/>
      </c>
      <c r="O152" s="34" t="str">
        <f aca="false">IF(H152="","",L152-K152-N152)</f>
        <v/>
      </c>
      <c r="P152" s="35" t="str">
        <f aca="false">IF(H152="","",O152/K152*10000)</f>
        <v/>
      </c>
      <c r="Q152" s="35" t="str">
        <f aca="false">IF(OR(H152="",G152=""),"",G152-P152)</f>
        <v/>
      </c>
      <c r="R152" s="36" t="str">
        <f aca="false">IF(H152="","",IF(OR(G152&lt;운용규칙!$B$8,K152&gt;운용규칙!$B$7),"위반","OK"))</f>
        <v/>
      </c>
      <c r="S152" s="28"/>
    </row>
    <row r="153" customFormat="false" ht="15" hidden="false" customHeight="false" outlineLevel="0" collapsed="false">
      <c r="A153" s="28"/>
      <c r="B153" s="29"/>
      <c r="C153" s="30"/>
      <c r="D153" s="28"/>
      <c r="E153" s="28"/>
      <c r="F153" s="28"/>
      <c r="G153" s="31"/>
      <c r="H153" s="32"/>
      <c r="I153" s="33"/>
      <c r="J153" s="33"/>
      <c r="K153" s="34" t="str">
        <f aca="false">IF(H153="","",H153*I153)</f>
        <v/>
      </c>
      <c r="L153" s="34" t="str">
        <f aca="false">IF(H153="","",H153*J153)</f>
        <v/>
      </c>
      <c r="M153" s="35" t="str">
        <f aca="false">IF(H153="","",(L153-K153)/K153*10000)</f>
        <v/>
      </c>
      <c r="N153" s="34" t="str">
        <f aca="false">IF(H153="","",K153*IF(E153="업비트",운용규칙!$B$5,운용규칙!$B$6)+L153*IF(F153="업비트",운용규칙!$B$5,운용규칙!$B$6))</f>
        <v/>
      </c>
      <c r="O153" s="34" t="str">
        <f aca="false">IF(H153="","",L153-K153-N153)</f>
        <v/>
      </c>
      <c r="P153" s="35" t="str">
        <f aca="false">IF(H153="","",O153/K153*10000)</f>
        <v/>
      </c>
      <c r="Q153" s="35" t="str">
        <f aca="false">IF(OR(H153="",G153=""),"",G153-P153)</f>
        <v/>
      </c>
      <c r="R153" s="36" t="str">
        <f aca="false">IF(H153="","",IF(OR(G153&lt;운용규칙!$B$8,K153&gt;운용규칙!$B$7),"위반","OK"))</f>
        <v/>
      </c>
      <c r="S153" s="28"/>
    </row>
    <row r="154" customFormat="false" ht="15" hidden="false" customHeight="false" outlineLevel="0" collapsed="false">
      <c r="A154" s="28"/>
      <c r="B154" s="29"/>
      <c r="C154" s="30"/>
      <c r="D154" s="28"/>
      <c r="E154" s="28"/>
      <c r="F154" s="28"/>
      <c r="G154" s="31"/>
      <c r="H154" s="32"/>
      <c r="I154" s="33"/>
      <c r="J154" s="33"/>
      <c r="K154" s="34" t="str">
        <f aca="false">IF(H154="","",H154*I154)</f>
        <v/>
      </c>
      <c r="L154" s="34" t="str">
        <f aca="false">IF(H154="","",H154*J154)</f>
        <v/>
      </c>
      <c r="M154" s="35" t="str">
        <f aca="false">IF(H154="","",(L154-K154)/K154*10000)</f>
        <v/>
      </c>
      <c r="N154" s="34" t="str">
        <f aca="false">IF(H154="","",K154*IF(E154="업비트",운용규칙!$B$5,운용규칙!$B$6)+L154*IF(F154="업비트",운용규칙!$B$5,운용규칙!$B$6))</f>
        <v/>
      </c>
      <c r="O154" s="34" t="str">
        <f aca="false">IF(H154="","",L154-K154-N154)</f>
        <v/>
      </c>
      <c r="P154" s="35" t="str">
        <f aca="false">IF(H154="","",O154/K154*10000)</f>
        <v/>
      </c>
      <c r="Q154" s="35" t="str">
        <f aca="false">IF(OR(H154="",G154=""),"",G154-P154)</f>
        <v/>
      </c>
      <c r="R154" s="36" t="str">
        <f aca="false">IF(H154="","",IF(OR(G154&lt;운용규칙!$B$8,K154&gt;운용규칙!$B$7),"위반","OK"))</f>
        <v/>
      </c>
      <c r="S154" s="28"/>
    </row>
    <row r="155" customFormat="false" ht="15" hidden="false" customHeight="false" outlineLevel="0" collapsed="false">
      <c r="A155" s="28"/>
      <c r="B155" s="29"/>
      <c r="C155" s="30"/>
      <c r="D155" s="28"/>
      <c r="E155" s="28"/>
      <c r="F155" s="28"/>
      <c r="G155" s="31"/>
      <c r="H155" s="32"/>
      <c r="I155" s="33"/>
      <c r="J155" s="33"/>
      <c r="K155" s="34" t="str">
        <f aca="false">IF(H155="","",H155*I155)</f>
        <v/>
      </c>
      <c r="L155" s="34" t="str">
        <f aca="false">IF(H155="","",H155*J155)</f>
        <v/>
      </c>
      <c r="M155" s="35" t="str">
        <f aca="false">IF(H155="","",(L155-K155)/K155*10000)</f>
        <v/>
      </c>
      <c r="N155" s="34" t="str">
        <f aca="false">IF(H155="","",K155*IF(E155="업비트",운용규칙!$B$5,운용규칙!$B$6)+L155*IF(F155="업비트",운용규칙!$B$5,운용규칙!$B$6))</f>
        <v/>
      </c>
      <c r="O155" s="34" t="str">
        <f aca="false">IF(H155="","",L155-K155-N155)</f>
        <v/>
      </c>
      <c r="P155" s="35" t="str">
        <f aca="false">IF(H155="","",O155/K155*10000)</f>
        <v/>
      </c>
      <c r="Q155" s="35" t="str">
        <f aca="false">IF(OR(H155="",G155=""),"",G155-P155)</f>
        <v/>
      </c>
      <c r="R155" s="36" t="str">
        <f aca="false">IF(H155="","",IF(OR(G155&lt;운용규칙!$B$8,K155&gt;운용규칙!$B$7),"위반","OK"))</f>
        <v/>
      </c>
      <c r="S155" s="28"/>
    </row>
    <row r="156" customFormat="false" ht="15" hidden="false" customHeight="false" outlineLevel="0" collapsed="false">
      <c r="A156" s="28"/>
      <c r="B156" s="29"/>
      <c r="C156" s="30"/>
      <c r="D156" s="28"/>
      <c r="E156" s="28"/>
      <c r="F156" s="28"/>
      <c r="G156" s="31"/>
      <c r="H156" s="32"/>
      <c r="I156" s="33"/>
      <c r="J156" s="33"/>
      <c r="K156" s="34" t="str">
        <f aca="false">IF(H156="","",H156*I156)</f>
        <v/>
      </c>
      <c r="L156" s="34" t="str">
        <f aca="false">IF(H156="","",H156*J156)</f>
        <v/>
      </c>
      <c r="M156" s="35" t="str">
        <f aca="false">IF(H156="","",(L156-K156)/K156*10000)</f>
        <v/>
      </c>
      <c r="N156" s="34" t="str">
        <f aca="false">IF(H156="","",K156*IF(E156="업비트",운용규칙!$B$5,운용규칙!$B$6)+L156*IF(F156="업비트",운용규칙!$B$5,운용규칙!$B$6))</f>
        <v/>
      </c>
      <c r="O156" s="34" t="str">
        <f aca="false">IF(H156="","",L156-K156-N156)</f>
        <v/>
      </c>
      <c r="P156" s="35" t="str">
        <f aca="false">IF(H156="","",O156/K156*10000)</f>
        <v/>
      </c>
      <c r="Q156" s="35" t="str">
        <f aca="false">IF(OR(H156="",G156=""),"",G156-P156)</f>
        <v/>
      </c>
      <c r="R156" s="36" t="str">
        <f aca="false">IF(H156="","",IF(OR(G156&lt;운용규칙!$B$8,K156&gt;운용규칙!$B$7),"위반","OK"))</f>
        <v/>
      </c>
      <c r="S156" s="28"/>
    </row>
    <row r="157" customFormat="false" ht="15" hidden="false" customHeight="false" outlineLevel="0" collapsed="false">
      <c r="A157" s="28"/>
      <c r="B157" s="29"/>
      <c r="C157" s="30"/>
      <c r="D157" s="28"/>
      <c r="E157" s="28"/>
      <c r="F157" s="28"/>
      <c r="G157" s="31"/>
      <c r="H157" s="32"/>
      <c r="I157" s="33"/>
      <c r="J157" s="33"/>
      <c r="K157" s="34" t="str">
        <f aca="false">IF(H157="","",H157*I157)</f>
        <v/>
      </c>
      <c r="L157" s="34" t="str">
        <f aca="false">IF(H157="","",H157*J157)</f>
        <v/>
      </c>
      <c r="M157" s="35" t="str">
        <f aca="false">IF(H157="","",(L157-K157)/K157*10000)</f>
        <v/>
      </c>
      <c r="N157" s="34" t="str">
        <f aca="false">IF(H157="","",K157*IF(E157="업비트",운용규칙!$B$5,운용규칙!$B$6)+L157*IF(F157="업비트",운용규칙!$B$5,운용규칙!$B$6))</f>
        <v/>
      </c>
      <c r="O157" s="34" t="str">
        <f aca="false">IF(H157="","",L157-K157-N157)</f>
        <v/>
      </c>
      <c r="P157" s="35" t="str">
        <f aca="false">IF(H157="","",O157/K157*10000)</f>
        <v/>
      </c>
      <c r="Q157" s="35" t="str">
        <f aca="false">IF(OR(H157="",G157=""),"",G157-P157)</f>
        <v/>
      </c>
      <c r="R157" s="36" t="str">
        <f aca="false">IF(H157="","",IF(OR(G157&lt;운용규칙!$B$8,K157&gt;운용규칙!$B$7),"위반","OK"))</f>
        <v/>
      </c>
      <c r="S157" s="28"/>
    </row>
    <row r="158" customFormat="false" ht="15" hidden="false" customHeight="false" outlineLevel="0" collapsed="false">
      <c r="A158" s="28"/>
      <c r="B158" s="29"/>
      <c r="C158" s="30"/>
      <c r="D158" s="28"/>
      <c r="E158" s="28"/>
      <c r="F158" s="28"/>
      <c r="G158" s="31"/>
      <c r="H158" s="32"/>
      <c r="I158" s="33"/>
      <c r="J158" s="33"/>
      <c r="K158" s="34" t="str">
        <f aca="false">IF(H158="","",H158*I158)</f>
        <v/>
      </c>
      <c r="L158" s="34" t="str">
        <f aca="false">IF(H158="","",H158*J158)</f>
        <v/>
      </c>
      <c r="M158" s="35" t="str">
        <f aca="false">IF(H158="","",(L158-K158)/K158*10000)</f>
        <v/>
      </c>
      <c r="N158" s="34" t="str">
        <f aca="false">IF(H158="","",K158*IF(E158="업비트",운용규칙!$B$5,운용규칙!$B$6)+L158*IF(F158="업비트",운용규칙!$B$5,운용규칙!$B$6))</f>
        <v/>
      </c>
      <c r="O158" s="34" t="str">
        <f aca="false">IF(H158="","",L158-K158-N158)</f>
        <v/>
      </c>
      <c r="P158" s="35" t="str">
        <f aca="false">IF(H158="","",O158/K158*10000)</f>
        <v/>
      </c>
      <c r="Q158" s="35" t="str">
        <f aca="false">IF(OR(H158="",G158=""),"",G158-P158)</f>
        <v/>
      </c>
      <c r="R158" s="36" t="str">
        <f aca="false">IF(H158="","",IF(OR(G158&lt;운용규칙!$B$8,K158&gt;운용규칙!$B$7),"위반","OK"))</f>
        <v/>
      </c>
      <c r="S158" s="28"/>
    </row>
    <row r="159" customFormat="false" ht="15" hidden="false" customHeight="false" outlineLevel="0" collapsed="false">
      <c r="A159" s="28"/>
      <c r="B159" s="29"/>
      <c r="C159" s="30"/>
      <c r="D159" s="28"/>
      <c r="E159" s="28"/>
      <c r="F159" s="28"/>
      <c r="G159" s="31"/>
      <c r="H159" s="32"/>
      <c r="I159" s="33"/>
      <c r="J159" s="33"/>
      <c r="K159" s="34" t="str">
        <f aca="false">IF(H159="","",H159*I159)</f>
        <v/>
      </c>
      <c r="L159" s="34" t="str">
        <f aca="false">IF(H159="","",H159*J159)</f>
        <v/>
      </c>
      <c r="M159" s="35" t="str">
        <f aca="false">IF(H159="","",(L159-K159)/K159*10000)</f>
        <v/>
      </c>
      <c r="N159" s="34" t="str">
        <f aca="false">IF(H159="","",K159*IF(E159="업비트",운용규칙!$B$5,운용규칙!$B$6)+L159*IF(F159="업비트",운용규칙!$B$5,운용규칙!$B$6))</f>
        <v/>
      </c>
      <c r="O159" s="34" t="str">
        <f aca="false">IF(H159="","",L159-K159-N159)</f>
        <v/>
      </c>
      <c r="P159" s="35" t="str">
        <f aca="false">IF(H159="","",O159/K159*10000)</f>
        <v/>
      </c>
      <c r="Q159" s="35" t="str">
        <f aca="false">IF(OR(H159="",G159=""),"",G159-P159)</f>
        <v/>
      </c>
      <c r="R159" s="36" t="str">
        <f aca="false">IF(H159="","",IF(OR(G159&lt;운용규칙!$B$8,K159&gt;운용규칙!$B$7),"위반","OK"))</f>
        <v/>
      </c>
      <c r="S159" s="28"/>
    </row>
    <row r="160" customFormat="false" ht="15" hidden="false" customHeight="false" outlineLevel="0" collapsed="false">
      <c r="A160" s="28"/>
      <c r="B160" s="29"/>
      <c r="C160" s="30"/>
      <c r="D160" s="28"/>
      <c r="E160" s="28"/>
      <c r="F160" s="28"/>
      <c r="G160" s="31"/>
      <c r="H160" s="32"/>
      <c r="I160" s="33"/>
      <c r="J160" s="33"/>
      <c r="K160" s="34" t="str">
        <f aca="false">IF(H160="","",H160*I160)</f>
        <v/>
      </c>
      <c r="L160" s="34" t="str">
        <f aca="false">IF(H160="","",H160*J160)</f>
        <v/>
      </c>
      <c r="M160" s="35" t="str">
        <f aca="false">IF(H160="","",(L160-K160)/K160*10000)</f>
        <v/>
      </c>
      <c r="N160" s="34" t="str">
        <f aca="false">IF(H160="","",K160*IF(E160="업비트",운용규칙!$B$5,운용규칙!$B$6)+L160*IF(F160="업비트",운용규칙!$B$5,운용규칙!$B$6))</f>
        <v/>
      </c>
      <c r="O160" s="34" t="str">
        <f aca="false">IF(H160="","",L160-K160-N160)</f>
        <v/>
      </c>
      <c r="P160" s="35" t="str">
        <f aca="false">IF(H160="","",O160/K160*10000)</f>
        <v/>
      </c>
      <c r="Q160" s="35" t="str">
        <f aca="false">IF(OR(H160="",G160=""),"",G160-P160)</f>
        <v/>
      </c>
      <c r="R160" s="36" t="str">
        <f aca="false">IF(H160="","",IF(OR(G160&lt;운용규칙!$B$8,K160&gt;운용규칙!$B$7),"위반","OK"))</f>
        <v/>
      </c>
      <c r="S160" s="28"/>
    </row>
    <row r="161" customFormat="false" ht="15" hidden="false" customHeight="false" outlineLevel="0" collapsed="false">
      <c r="A161" s="28"/>
      <c r="B161" s="29"/>
      <c r="C161" s="30"/>
      <c r="D161" s="28"/>
      <c r="E161" s="28"/>
      <c r="F161" s="28"/>
      <c r="G161" s="31"/>
      <c r="H161" s="32"/>
      <c r="I161" s="33"/>
      <c r="J161" s="33"/>
      <c r="K161" s="34" t="str">
        <f aca="false">IF(H161="","",H161*I161)</f>
        <v/>
      </c>
      <c r="L161" s="34" t="str">
        <f aca="false">IF(H161="","",H161*J161)</f>
        <v/>
      </c>
      <c r="M161" s="35" t="str">
        <f aca="false">IF(H161="","",(L161-K161)/K161*10000)</f>
        <v/>
      </c>
      <c r="N161" s="34" t="str">
        <f aca="false">IF(H161="","",K161*IF(E161="업비트",운용규칙!$B$5,운용규칙!$B$6)+L161*IF(F161="업비트",운용규칙!$B$5,운용규칙!$B$6))</f>
        <v/>
      </c>
      <c r="O161" s="34" t="str">
        <f aca="false">IF(H161="","",L161-K161-N161)</f>
        <v/>
      </c>
      <c r="P161" s="35" t="str">
        <f aca="false">IF(H161="","",O161/K161*10000)</f>
        <v/>
      </c>
      <c r="Q161" s="35" t="str">
        <f aca="false">IF(OR(H161="",G161=""),"",G161-P161)</f>
        <v/>
      </c>
      <c r="R161" s="36" t="str">
        <f aca="false">IF(H161="","",IF(OR(G161&lt;운용규칙!$B$8,K161&gt;운용규칙!$B$7),"위반","OK"))</f>
        <v/>
      </c>
      <c r="S161" s="28"/>
    </row>
    <row r="162" customFormat="false" ht="15" hidden="false" customHeight="false" outlineLevel="0" collapsed="false">
      <c r="A162" s="28"/>
      <c r="B162" s="29"/>
      <c r="C162" s="30"/>
      <c r="D162" s="28"/>
      <c r="E162" s="28"/>
      <c r="F162" s="28"/>
      <c r="G162" s="31"/>
      <c r="H162" s="32"/>
      <c r="I162" s="33"/>
      <c r="J162" s="33"/>
      <c r="K162" s="34" t="str">
        <f aca="false">IF(H162="","",H162*I162)</f>
        <v/>
      </c>
      <c r="L162" s="34" t="str">
        <f aca="false">IF(H162="","",H162*J162)</f>
        <v/>
      </c>
      <c r="M162" s="35" t="str">
        <f aca="false">IF(H162="","",(L162-K162)/K162*10000)</f>
        <v/>
      </c>
      <c r="N162" s="34" t="str">
        <f aca="false">IF(H162="","",K162*IF(E162="업비트",운용규칙!$B$5,운용규칙!$B$6)+L162*IF(F162="업비트",운용규칙!$B$5,운용규칙!$B$6))</f>
        <v/>
      </c>
      <c r="O162" s="34" t="str">
        <f aca="false">IF(H162="","",L162-K162-N162)</f>
        <v/>
      </c>
      <c r="P162" s="35" t="str">
        <f aca="false">IF(H162="","",O162/K162*10000)</f>
        <v/>
      </c>
      <c r="Q162" s="35" t="str">
        <f aca="false">IF(OR(H162="",G162=""),"",G162-P162)</f>
        <v/>
      </c>
      <c r="R162" s="36" t="str">
        <f aca="false">IF(H162="","",IF(OR(G162&lt;운용규칙!$B$8,K162&gt;운용규칙!$B$7),"위반","OK"))</f>
        <v/>
      </c>
      <c r="S162" s="28"/>
    </row>
    <row r="163" customFormat="false" ht="15" hidden="false" customHeight="false" outlineLevel="0" collapsed="false">
      <c r="A163" s="28"/>
      <c r="B163" s="29"/>
      <c r="C163" s="30"/>
      <c r="D163" s="28"/>
      <c r="E163" s="28"/>
      <c r="F163" s="28"/>
      <c r="G163" s="31"/>
      <c r="H163" s="32"/>
      <c r="I163" s="33"/>
      <c r="J163" s="33"/>
      <c r="K163" s="34" t="str">
        <f aca="false">IF(H163="","",H163*I163)</f>
        <v/>
      </c>
      <c r="L163" s="34" t="str">
        <f aca="false">IF(H163="","",H163*J163)</f>
        <v/>
      </c>
      <c r="M163" s="35" t="str">
        <f aca="false">IF(H163="","",(L163-K163)/K163*10000)</f>
        <v/>
      </c>
      <c r="N163" s="34" t="str">
        <f aca="false">IF(H163="","",K163*IF(E163="업비트",운용규칙!$B$5,운용규칙!$B$6)+L163*IF(F163="업비트",운용규칙!$B$5,운용규칙!$B$6))</f>
        <v/>
      </c>
      <c r="O163" s="34" t="str">
        <f aca="false">IF(H163="","",L163-K163-N163)</f>
        <v/>
      </c>
      <c r="P163" s="35" t="str">
        <f aca="false">IF(H163="","",O163/K163*10000)</f>
        <v/>
      </c>
      <c r="Q163" s="35" t="str">
        <f aca="false">IF(OR(H163="",G163=""),"",G163-P163)</f>
        <v/>
      </c>
      <c r="R163" s="36" t="str">
        <f aca="false">IF(H163="","",IF(OR(G163&lt;운용규칙!$B$8,K163&gt;운용규칙!$B$7),"위반","OK"))</f>
        <v/>
      </c>
      <c r="S163" s="28"/>
    </row>
    <row r="164" customFormat="false" ht="15" hidden="false" customHeight="false" outlineLevel="0" collapsed="false">
      <c r="A164" s="28"/>
      <c r="B164" s="29"/>
      <c r="C164" s="30"/>
      <c r="D164" s="28"/>
      <c r="E164" s="28"/>
      <c r="F164" s="28"/>
      <c r="G164" s="31"/>
      <c r="H164" s="32"/>
      <c r="I164" s="33"/>
      <c r="J164" s="33"/>
      <c r="K164" s="34" t="str">
        <f aca="false">IF(H164="","",H164*I164)</f>
        <v/>
      </c>
      <c r="L164" s="34" t="str">
        <f aca="false">IF(H164="","",H164*J164)</f>
        <v/>
      </c>
      <c r="M164" s="35" t="str">
        <f aca="false">IF(H164="","",(L164-K164)/K164*10000)</f>
        <v/>
      </c>
      <c r="N164" s="34" t="str">
        <f aca="false">IF(H164="","",K164*IF(E164="업비트",운용규칙!$B$5,운용규칙!$B$6)+L164*IF(F164="업비트",운용규칙!$B$5,운용규칙!$B$6))</f>
        <v/>
      </c>
      <c r="O164" s="34" t="str">
        <f aca="false">IF(H164="","",L164-K164-N164)</f>
        <v/>
      </c>
      <c r="P164" s="35" t="str">
        <f aca="false">IF(H164="","",O164/K164*10000)</f>
        <v/>
      </c>
      <c r="Q164" s="35" t="str">
        <f aca="false">IF(OR(H164="",G164=""),"",G164-P164)</f>
        <v/>
      </c>
      <c r="R164" s="36" t="str">
        <f aca="false">IF(H164="","",IF(OR(G164&lt;운용규칙!$B$8,K164&gt;운용규칙!$B$7),"위반","OK"))</f>
        <v/>
      </c>
      <c r="S164" s="28"/>
    </row>
    <row r="165" customFormat="false" ht="15" hidden="false" customHeight="false" outlineLevel="0" collapsed="false">
      <c r="A165" s="28"/>
      <c r="B165" s="29"/>
      <c r="C165" s="30"/>
      <c r="D165" s="28"/>
      <c r="E165" s="28"/>
      <c r="F165" s="28"/>
      <c r="G165" s="31"/>
      <c r="H165" s="32"/>
      <c r="I165" s="33"/>
      <c r="J165" s="33"/>
      <c r="K165" s="34" t="str">
        <f aca="false">IF(H165="","",H165*I165)</f>
        <v/>
      </c>
      <c r="L165" s="34" t="str">
        <f aca="false">IF(H165="","",H165*J165)</f>
        <v/>
      </c>
      <c r="M165" s="35" t="str">
        <f aca="false">IF(H165="","",(L165-K165)/K165*10000)</f>
        <v/>
      </c>
      <c r="N165" s="34" t="str">
        <f aca="false">IF(H165="","",K165*IF(E165="업비트",운용규칙!$B$5,운용규칙!$B$6)+L165*IF(F165="업비트",운용규칙!$B$5,운용규칙!$B$6))</f>
        <v/>
      </c>
      <c r="O165" s="34" t="str">
        <f aca="false">IF(H165="","",L165-K165-N165)</f>
        <v/>
      </c>
      <c r="P165" s="35" t="str">
        <f aca="false">IF(H165="","",O165/K165*10000)</f>
        <v/>
      </c>
      <c r="Q165" s="35" t="str">
        <f aca="false">IF(OR(H165="",G165=""),"",G165-P165)</f>
        <v/>
      </c>
      <c r="R165" s="36" t="str">
        <f aca="false">IF(H165="","",IF(OR(G165&lt;운용규칙!$B$8,K165&gt;운용규칙!$B$7),"위반","OK"))</f>
        <v/>
      </c>
      <c r="S165" s="28"/>
    </row>
    <row r="166" customFormat="false" ht="15" hidden="false" customHeight="false" outlineLevel="0" collapsed="false">
      <c r="A166" s="28"/>
      <c r="B166" s="29"/>
      <c r="C166" s="30"/>
      <c r="D166" s="28"/>
      <c r="E166" s="28"/>
      <c r="F166" s="28"/>
      <c r="G166" s="31"/>
      <c r="H166" s="32"/>
      <c r="I166" s="33"/>
      <c r="J166" s="33"/>
      <c r="K166" s="34" t="str">
        <f aca="false">IF(H166="","",H166*I166)</f>
        <v/>
      </c>
      <c r="L166" s="34" t="str">
        <f aca="false">IF(H166="","",H166*J166)</f>
        <v/>
      </c>
      <c r="M166" s="35" t="str">
        <f aca="false">IF(H166="","",(L166-K166)/K166*10000)</f>
        <v/>
      </c>
      <c r="N166" s="34" t="str">
        <f aca="false">IF(H166="","",K166*IF(E166="업비트",운용규칙!$B$5,운용규칙!$B$6)+L166*IF(F166="업비트",운용규칙!$B$5,운용규칙!$B$6))</f>
        <v/>
      </c>
      <c r="O166" s="34" t="str">
        <f aca="false">IF(H166="","",L166-K166-N166)</f>
        <v/>
      </c>
      <c r="P166" s="35" t="str">
        <f aca="false">IF(H166="","",O166/K166*10000)</f>
        <v/>
      </c>
      <c r="Q166" s="35" t="str">
        <f aca="false">IF(OR(H166="",G166=""),"",G166-P166)</f>
        <v/>
      </c>
      <c r="R166" s="36" t="str">
        <f aca="false">IF(H166="","",IF(OR(G166&lt;운용규칙!$B$8,K166&gt;운용규칙!$B$7),"위반","OK"))</f>
        <v/>
      </c>
      <c r="S166" s="28"/>
    </row>
    <row r="167" customFormat="false" ht="15" hidden="false" customHeight="false" outlineLevel="0" collapsed="false">
      <c r="A167" s="28"/>
      <c r="B167" s="29"/>
      <c r="C167" s="30"/>
      <c r="D167" s="28"/>
      <c r="E167" s="28"/>
      <c r="F167" s="28"/>
      <c r="G167" s="31"/>
      <c r="H167" s="32"/>
      <c r="I167" s="33"/>
      <c r="J167" s="33"/>
      <c r="K167" s="34" t="str">
        <f aca="false">IF(H167="","",H167*I167)</f>
        <v/>
      </c>
      <c r="L167" s="34" t="str">
        <f aca="false">IF(H167="","",H167*J167)</f>
        <v/>
      </c>
      <c r="M167" s="35" t="str">
        <f aca="false">IF(H167="","",(L167-K167)/K167*10000)</f>
        <v/>
      </c>
      <c r="N167" s="34" t="str">
        <f aca="false">IF(H167="","",K167*IF(E167="업비트",운용규칙!$B$5,운용규칙!$B$6)+L167*IF(F167="업비트",운용규칙!$B$5,운용규칙!$B$6))</f>
        <v/>
      </c>
      <c r="O167" s="34" t="str">
        <f aca="false">IF(H167="","",L167-K167-N167)</f>
        <v/>
      </c>
      <c r="P167" s="35" t="str">
        <f aca="false">IF(H167="","",O167/K167*10000)</f>
        <v/>
      </c>
      <c r="Q167" s="35" t="str">
        <f aca="false">IF(OR(H167="",G167=""),"",G167-P167)</f>
        <v/>
      </c>
      <c r="R167" s="36" t="str">
        <f aca="false">IF(H167="","",IF(OR(G167&lt;운용규칙!$B$8,K167&gt;운용규칙!$B$7),"위반","OK"))</f>
        <v/>
      </c>
      <c r="S167" s="28"/>
    </row>
    <row r="168" customFormat="false" ht="15" hidden="false" customHeight="false" outlineLevel="0" collapsed="false">
      <c r="A168" s="28"/>
      <c r="B168" s="29"/>
      <c r="C168" s="30"/>
      <c r="D168" s="28"/>
      <c r="E168" s="28"/>
      <c r="F168" s="28"/>
      <c r="G168" s="31"/>
      <c r="H168" s="32"/>
      <c r="I168" s="33"/>
      <c r="J168" s="33"/>
      <c r="K168" s="34" t="str">
        <f aca="false">IF(H168="","",H168*I168)</f>
        <v/>
      </c>
      <c r="L168" s="34" t="str">
        <f aca="false">IF(H168="","",H168*J168)</f>
        <v/>
      </c>
      <c r="M168" s="35" t="str">
        <f aca="false">IF(H168="","",(L168-K168)/K168*10000)</f>
        <v/>
      </c>
      <c r="N168" s="34" t="str">
        <f aca="false">IF(H168="","",K168*IF(E168="업비트",운용규칙!$B$5,운용규칙!$B$6)+L168*IF(F168="업비트",운용규칙!$B$5,운용규칙!$B$6))</f>
        <v/>
      </c>
      <c r="O168" s="34" t="str">
        <f aca="false">IF(H168="","",L168-K168-N168)</f>
        <v/>
      </c>
      <c r="P168" s="35" t="str">
        <f aca="false">IF(H168="","",O168/K168*10000)</f>
        <v/>
      </c>
      <c r="Q168" s="35" t="str">
        <f aca="false">IF(OR(H168="",G168=""),"",G168-P168)</f>
        <v/>
      </c>
      <c r="R168" s="36" t="str">
        <f aca="false">IF(H168="","",IF(OR(G168&lt;운용규칙!$B$8,K168&gt;운용규칙!$B$7),"위반","OK"))</f>
        <v/>
      </c>
      <c r="S168" s="28"/>
    </row>
    <row r="169" customFormat="false" ht="15" hidden="false" customHeight="false" outlineLevel="0" collapsed="false">
      <c r="A169" s="28"/>
      <c r="B169" s="29"/>
      <c r="C169" s="30"/>
      <c r="D169" s="28"/>
      <c r="E169" s="28"/>
      <c r="F169" s="28"/>
      <c r="G169" s="31"/>
      <c r="H169" s="32"/>
      <c r="I169" s="33"/>
      <c r="J169" s="33"/>
      <c r="K169" s="34" t="str">
        <f aca="false">IF(H169="","",H169*I169)</f>
        <v/>
      </c>
      <c r="L169" s="34" t="str">
        <f aca="false">IF(H169="","",H169*J169)</f>
        <v/>
      </c>
      <c r="M169" s="35" t="str">
        <f aca="false">IF(H169="","",(L169-K169)/K169*10000)</f>
        <v/>
      </c>
      <c r="N169" s="34" t="str">
        <f aca="false">IF(H169="","",K169*IF(E169="업비트",운용규칙!$B$5,운용규칙!$B$6)+L169*IF(F169="업비트",운용규칙!$B$5,운용규칙!$B$6))</f>
        <v/>
      </c>
      <c r="O169" s="34" t="str">
        <f aca="false">IF(H169="","",L169-K169-N169)</f>
        <v/>
      </c>
      <c r="P169" s="35" t="str">
        <f aca="false">IF(H169="","",O169/K169*10000)</f>
        <v/>
      </c>
      <c r="Q169" s="35" t="str">
        <f aca="false">IF(OR(H169="",G169=""),"",G169-P169)</f>
        <v/>
      </c>
      <c r="R169" s="36" t="str">
        <f aca="false">IF(H169="","",IF(OR(G169&lt;운용규칙!$B$8,K169&gt;운용규칙!$B$7),"위반","OK"))</f>
        <v/>
      </c>
      <c r="S169" s="28"/>
    </row>
    <row r="170" customFormat="false" ht="15" hidden="false" customHeight="false" outlineLevel="0" collapsed="false">
      <c r="A170" s="28"/>
      <c r="B170" s="29"/>
      <c r="C170" s="30"/>
      <c r="D170" s="28"/>
      <c r="E170" s="28"/>
      <c r="F170" s="28"/>
      <c r="G170" s="31"/>
      <c r="H170" s="32"/>
      <c r="I170" s="33"/>
      <c r="J170" s="33"/>
      <c r="K170" s="34" t="str">
        <f aca="false">IF(H170="","",H170*I170)</f>
        <v/>
      </c>
      <c r="L170" s="34" t="str">
        <f aca="false">IF(H170="","",H170*J170)</f>
        <v/>
      </c>
      <c r="M170" s="35" t="str">
        <f aca="false">IF(H170="","",(L170-K170)/K170*10000)</f>
        <v/>
      </c>
      <c r="N170" s="34" t="str">
        <f aca="false">IF(H170="","",K170*IF(E170="업비트",운용규칙!$B$5,운용규칙!$B$6)+L170*IF(F170="업비트",운용규칙!$B$5,운용규칙!$B$6))</f>
        <v/>
      </c>
      <c r="O170" s="34" t="str">
        <f aca="false">IF(H170="","",L170-K170-N170)</f>
        <v/>
      </c>
      <c r="P170" s="35" t="str">
        <f aca="false">IF(H170="","",O170/K170*10000)</f>
        <v/>
      </c>
      <c r="Q170" s="35" t="str">
        <f aca="false">IF(OR(H170="",G170=""),"",G170-P170)</f>
        <v/>
      </c>
      <c r="R170" s="36" t="str">
        <f aca="false">IF(H170="","",IF(OR(G170&lt;운용규칙!$B$8,K170&gt;운용규칙!$B$7),"위반","OK"))</f>
        <v/>
      </c>
      <c r="S170" s="28"/>
    </row>
    <row r="171" customFormat="false" ht="15" hidden="false" customHeight="false" outlineLevel="0" collapsed="false">
      <c r="A171" s="28"/>
      <c r="B171" s="29"/>
      <c r="C171" s="30"/>
      <c r="D171" s="28"/>
      <c r="E171" s="28"/>
      <c r="F171" s="28"/>
      <c r="G171" s="31"/>
      <c r="H171" s="32"/>
      <c r="I171" s="33"/>
      <c r="J171" s="33"/>
      <c r="K171" s="34" t="str">
        <f aca="false">IF(H171="","",H171*I171)</f>
        <v/>
      </c>
      <c r="L171" s="34" t="str">
        <f aca="false">IF(H171="","",H171*J171)</f>
        <v/>
      </c>
      <c r="M171" s="35" t="str">
        <f aca="false">IF(H171="","",(L171-K171)/K171*10000)</f>
        <v/>
      </c>
      <c r="N171" s="34" t="str">
        <f aca="false">IF(H171="","",K171*IF(E171="업비트",운용규칙!$B$5,운용규칙!$B$6)+L171*IF(F171="업비트",운용규칙!$B$5,운용규칙!$B$6))</f>
        <v/>
      </c>
      <c r="O171" s="34" t="str">
        <f aca="false">IF(H171="","",L171-K171-N171)</f>
        <v/>
      </c>
      <c r="P171" s="35" t="str">
        <f aca="false">IF(H171="","",O171/K171*10000)</f>
        <v/>
      </c>
      <c r="Q171" s="35" t="str">
        <f aca="false">IF(OR(H171="",G171=""),"",G171-P171)</f>
        <v/>
      </c>
      <c r="R171" s="36" t="str">
        <f aca="false">IF(H171="","",IF(OR(G171&lt;운용규칙!$B$8,K171&gt;운용규칙!$B$7),"위반","OK"))</f>
        <v/>
      </c>
      <c r="S171" s="28"/>
    </row>
    <row r="172" customFormat="false" ht="15" hidden="false" customHeight="false" outlineLevel="0" collapsed="false">
      <c r="A172" s="28"/>
      <c r="B172" s="29"/>
      <c r="C172" s="30"/>
      <c r="D172" s="28"/>
      <c r="E172" s="28"/>
      <c r="F172" s="28"/>
      <c r="G172" s="31"/>
      <c r="H172" s="32"/>
      <c r="I172" s="33"/>
      <c r="J172" s="33"/>
      <c r="K172" s="34" t="str">
        <f aca="false">IF(H172="","",H172*I172)</f>
        <v/>
      </c>
      <c r="L172" s="34" t="str">
        <f aca="false">IF(H172="","",H172*J172)</f>
        <v/>
      </c>
      <c r="M172" s="35" t="str">
        <f aca="false">IF(H172="","",(L172-K172)/K172*10000)</f>
        <v/>
      </c>
      <c r="N172" s="34" t="str">
        <f aca="false">IF(H172="","",K172*IF(E172="업비트",운용규칙!$B$5,운용규칙!$B$6)+L172*IF(F172="업비트",운용규칙!$B$5,운용규칙!$B$6))</f>
        <v/>
      </c>
      <c r="O172" s="34" t="str">
        <f aca="false">IF(H172="","",L172-K172-N172)</f>
        <v/>
      </c>
      <c r="P172" s="35" t="str">
        <f aca="false">IF(H172="","",O172/K172*10000)</f>
        <v/>
      </c>
      <c r="Q172" s="35" t="str">
        <f aca="false">IF(OR(H172="",G172=""),"",G172-P172)</f>
        <v/>
      </c>
      <c r="R172" s="36" t="str">
        <f aca="false">IF(H172="","",IF(OR(G172&lt;운용규칙!$B$8,K172&gt;운용규칙!$B$7),"위반","OK"))</f>
        <v/>
      </c>
      <c r="S172" s="28"/>
    </row>
    <row r="173" customFormat="false" ht="15" hidden="false" customHeight="false" outlineLevel="0" collapsed="false">
      <c r="A173" s="28"/>
      <c r="B173" s="29"/>
      <c r="C173" s="30"/>
      <c r="D173" s="28"/>
      <c r="E173" s="28"/>
      <c r="F173" s="28"/>
      <c r="G173" s="31"/>
      <c r="H173" s="32"/>
      <c r="I173" s="33"/>
      <c r="J173" s="33"/>
      <c r="K173" s="34" t="str">
        <f aca="false">IF(H173="","",H173*I173)</f>
        <v/>
      </c>
      <c r="L173" s="34" t="str">
        <f aca="false">IF(H173="","",H173*J173)</f>
        <v/>
      </c>
      <c r="M173" s="35" t="str">
        <f aca="false">IF(H173="","",(L173-K173)/K173*10000)</f>
        <v/>
      </c>
      <c r="N173" s="34" t="str">
        <f aca="false">IF(H173="","",K173*IF(E173="업비트",운용규칙!$B$5,운용규칙!$B$6)+L173*IF(F173="업비트",운용규칙!$B$5,운용규칙!$B$6))</f>
        <v/>
      </c>
      <c r="O173" s="34" t="str">
        <f aca="false">IF(H173="","",L173-K173-N173)</f>
        <v/>
      </c>
      <c r="P173" s="35" t="str">
        <f aca="false">IF(H173="","",O173/K173*10000)</f>
        <v/>
      </c>
      <c r="Q173" s="35" t="str">
        <f aca="false">IF(OR(H173="",G173=""),"",G173-P173)</f>
        <v/>
      </c>
      <c r="R173" s="36" t="str">
        <f aca="false">IF(H173="","",IF(OR(G173&lt;운용규칙!$B$8,K173&gt;운용규칙!$B$7),"위반","OK"))</f>
        <v/>
      </c>
      <c r="S173" s="28"/>
    </row>
    <row r="174" customFormat="false" ht="15" hidden="false" customHeight="false" outlineLevel="0" collapsed="false">
      <c r="A174" s="28"/>
      <c r="B174" s="29"/>
      <c r="C174" s="30"/>
      <c r="D174" s="28"/>
      <c r="E174" s="28"/>
      <c r="F174" s="28"/>
      <c r="G174" s="31"/>
      <c r="H174" s="32"/>
      <c r="I174" s="33"/>
      <c r="J174" s="33"/>
      <c r="K174" s="34" t="str">
        <f aca="false">IF(H174="","",H174*I174)</f>
        <v/>
      </c>
      <c r="L174" s="34" t="str">
        <f aca="false">IF(H174="","",H174*J174)</f>
        <v/>
      </c>
      <c r="M174" s="35" t="str">
        <f aca="false">IF(H174="","",(L174-K174)/K174*10000)</f>
        <v/>
      </c>
      <c r="N174" s="34" t="str">
        <f aca="false">IF(H174="","",K174*IF(E174="업비트",운용규칙!$B$5,운용규칙!$B$6)+L174*IF(F174="업비트",운용규칙!$B$5,운용규칙!$B$6))</f>
        <v/>
      </c>
      <c r="O174" s="34" t="str">
        <f aca="false">IF(H174="","",L174-K174-N174)</f>
        <v/>
      </c>
      <c r="P174" s="35" t="str">
        <f aca="false">IF(H174="","",O174/K174*10000)</f>
        <v/>
      </c>
      <c r="Q174" s="35" t="str">
        <f aca="false">IF(OR(H174="",G174=""),"",G174-P174)</f>
        <v/>
      </c>
      <c r="R174" s="36" t="str">
        <f aca="false">IF(H174="","",IF(OR(G174&lt;운용규칙!$B$8,K174&gt;운용규칙!$B$7),"위반","OK"))</f>
        <v/>
      </c>
      <c r="S174" s="28"/>
    </row>
    <row r="175" customFormat="false" ht="15" hidden="false" customHeight="false" outlineLevel="0" collapsed="false">
      <c r="A175" s="28"/>
      <c r="B175" s="29"/>
      <c r="C175" s="30"/>
      <c r="D175" s="28"/>
      <c r="E175" s="28"/>
      <c r="F175" s="28"/>
      <c r="G175" s="31"/>
      <c r="H175" s="32"/>
      <c r="I175" s="33"/>
      <c r="J175" s="33"/>
      <c r="K175" s="34" t="str">
        <f aca="false">IF(H175="","",H175*I175)</f>
        <v/>
      </c>
      <c r="L175" s="34" t="str">
        <f aca="false">IF(H175="","",H175*J175)</f>
        <v/>
      </c>
      <c r="M175" s="35" t="str">
        <f aca="false">IF(H175="","",(L175-K175)/K175*10000)</f>
        <v/>
      </c>
      <c r="N175" s="34" t="str">
        <f aca="false">IF(H175="","",K175*IF(E175="업비트",운용규칙!$B$5,운용규칙!$B$6)+L175*IF(F175="업비트",운용규칙!$B$5,운용규칙!$B$6))</f>
        <v/>
      </c>
      <c r="O175" s="34" t="str">
        <f aca="false">IF(H175="","",L175-K175-N175)</f>
        <v/>
      </c>
      <c r="P175" s="35" t="str">
        <f aca="false">IF(H175="","",O175/K175*10000)</f>
        <v/>
      </c>
      <c r="Q175" s="35" t="str">
        <f aca="false">IF(OR(H175="",G175=""),"",G175-P175)</f>
        <v/>
      </c>
      <c r="R175" s="36" t="str">
        <f aca="false">IF(H175="","",IF(OR(G175&lt;운용규칙!$B$8,K175&gt;운용규칙!$B$7),"위반","OK"))</f>
        <v/>
      </c>
      <c r="S175" s="28"/>
    </row>
    <row r="176" customFormat="false" ht="15" hidden="false" customHeight="false" outlineLevel="0" collapsed="false">
      <c r="A176" s="28"/>
      <c r="B176" s="29"/>
      <c r="C176" s="30"/>
      <c r="D176" s="28"/>
      <c r="E176" s="28"/>
      <c r="F176" s="28"/>
      <c r="G176" s="31"/>
      <c r="H176" s="32"/>
      <c r="I176" s="33"/>
      <c r="J176" s="33"/>
      <c r="K176" s="34" t="str">
        <f aca="false">IF(H176="","",H176*I176)</f>
        <v/>
      </c>
      <c r="L176" s="34" t="str">
        <f aca="false">IF(H176="","",H176*J176)</f>
        <v/>
      </c>
      <c r="M176" s="35" t="str">
        <f aca="false">IF(H176="","",(L176-K176)/K176*10000)</f>
        <v/>
      </c>
      <c r="N176" s="34" t="str">
        <f aca="false">IF(H176="","",K176*IF(E176="업비트",운용규칙!$B$5,운용규칙!$B$6)+L176*IF(F176="업비트",운용규칙!$B$5,운용규칙!$B$6))</f>
        <v/>
      </c>
      <c r="O176" s="34" t="str">
        <f aca="false">IF(H176="","",L176-K176-N176)</f>
        <v/>
      </c>
      <c r="P176" s="35" t="str">
        <f aca="false">IF(H176="","",O176/K176*10000)</f>
        <v/>
      </c>
      <c r="Q176" s="35" t="str">
        <f aca="false">IF(OR(H176="",G176=""),"",G176-P176)</f>
        <v/>
      </c>
      <c r="R176" s="36" t="str">
        <f aca="false">IF(H176="","",IF(OR(G176&lt;운용규칙!$B$8,K176&gt;운용규칙!$B$7),"위반","OK"))</f>
        <v/>
      </c>
      <c r="S176" s="28"/>
    </row>
    <row r="177" customFormat="false" ht="15" hidden="false" customHeight="false" outlineLevel="0" collapsed="false">
      <c r="A177" s="28"/>
      <c r="B177" s="29"/>
      <c r="C177" s="30"/>
      <c r="D177" s="28"/>
      <c r="E177" s="28"/>
      <c r="F177" s="28"/>
      <c r="G177" s="31"/>
      <c r="H177" s="32"/>
      <c r="I177" s="33"/>
      <c r="J177" s="33"/>
      <c r="K177" s="34" t="str">
        <f aca="false">IF(H177="","",H177*I177)</f>
        <v/>
      </c>
      <c r="L177" s="34" t="str">
        <f aca="false">IF(H177="","",H177*J177)</f>
        <v/>
      </c>
      <c r="M177" s="35" t="str">
        <f aca="false">IF(H177="","",(L177-K177)/K177*10000)</f>
        <v/>
      </c>
      <c r="N177" s="34" t="str">
        <f aca="false">IF(H177="","",K177*IF(E177="업비트",운용규칙!$B$5,운용규칙!$B$6)+L177*IF(F177="업비트",운용규칙!$B$5,운용규칙!$B$6))</f>
        <v/>
      </c>
      <c r="O177" s="34" t="str">
        <f aca="false">IF(H177="","",L177-K177-N177)</f>
        <v/>
      </c>
      <c r="P177" s="35" t="str">
        <f aca="false">IF(H177="","",O177/K177*10000)</f>
        <v/>
      </c>
      <c r="Q177" s="35" t="str">
        <f aca="false">IF(OR(H177="",G177=""),"",G177-P177)</f>
        <v/>
      </c>
      <c r="R177" s="36" t="str">
        <f aca="false">IF(H177="","",IF(OR(G177&lt;운용규칙!$B$8,K177&gt;운용규칙!$B$7),"위반","OK"))</f>
        <v/>
      </c>
      <c r="S177" s="28"/>
    </row>
    <row r="178" customFormat="false" ht="15" hidden="false" customHeight="false" outlineLevel="0" collapsed="false">
      <c r="A178" s="28"/>
      <c r="B178" s="29"/>
      <c r="C178" s="30"/>
      <c r="D178" s="28"/>
      <c r="E178" s="28"/>
      <c r="F178" s="28"/>
      <c r="G178" s="31"/>
      <c r="H178" s="32"/>
      <c r="I178" s="33"/>
      <c r="J178" s="33"/>
      <c r="K178" s="34" t="str">
        <f aca="false">IF(H178="","",H178*I178)</f>
        <v/>
      </c>
      <c r="L178" s="34" t="str">
        <f aca="false">IF(H178="","",H178*J178)</f>
        <v/>
      </c>
      <c r="M178" s="35" t="str">
        <f aca="false">IF(H178="","",(L178-K178)/K178*10000)</f>
        <v/>
      </c>
      <c r="N178" s="34" t="str">
        <f aca="false">IF(H178="","",K178*IF(E178="업비트",운용규칙!$B$5,운용규칙!$B$6)+L178*IF(F178="업비트",운용규칙!$B$5,운용규칙!$B$6))</f>
        <v/>
      </c>
      <c r="O178" s="34" t="str">
        <f aca="false">IF(H178="","",L178-K178-N178)</f>
        <v/>
      </c>
      <c r="P178" s="35" t="str">
        <f aca="false">IF(H178="","",O178/K178*10000)</f>
        <v/>
      </c>
      <c r="Q178" s="35" t="str">
        <f aca="false">IF(OR(H178="",G178=""),"",G178-P178)</f>
        <v/>
      </c>
      <c r="R178" s="36" t="str">
        <f aca="false">IF(H178="","",IF(OR(G178&lt;운용규칙!$B$8,K178&gt;운용규칙!$B$7),"위반","OK"))</f>
        <v/>
      </c>
      <c r="S178" s="28"/>
    </row>
    <row r="179" customFormat="false" ht="15" hidden="false" customHeight="false" outlineLevel="0" collapsed="false">
      <c r="A179" s="28"/>
      <c r="B179" s="29"/>
      <c r="C179" s="30"/>
      <c r="D179" s="28"/>
      <c r="E179" s="28"/>
      <c r="F179" s="28"/>
      <c r="G179" s="31"/>
      <c r="H179" s="32"/>
      <c r="I179" s="33"/>
      <c r="J179" s="33"/>
      <c r="K179" s="34" t="str">
        <f aca="false">IF(H179="","",H179*I179)</f>
        <v/>
      </c>
      <c r="L179" s="34" t="str">
        <f aca="false">IF(H179="","",H179*J179)</f>
        <v/>
      </c>
      <c r="M179" s="35" t="str">
        <f aca="false">IF(H179="","",(L179-K179)/K179*10000)</f>
        <v/>
      </c>
      <c r="N179" s="34" t="str">
        <f aca="false">IF(H179="","",K179*IF(E179="업비트",운용규칙!$B$5,운용규칙!$B$6)+L179*IF(F179="업비트",운용규칙!$B$5,운용규칙!$B$6))</f>
        <v/>
      </c>
      <c r="O179" s="34" t="str">
        <f aca="false">IF(H179="","",L179-K179-N179)</f>
        <v/>
      </c>
      <c r="P179" s="35" t="str">
        <f aca="false">IF(H179="","",O179/K179*10000)</f>
        <v/>
      </c>
      <c r="Q179" s="35" t="str">
        <f aca="false">IF(OR(H179="",G179=""),"",G179-P179)</f>
        <v/>
      </c>
      <c r="R179" s="36" t="str">
        <f aca="false">IF(H179="","",IF(OR(G179&lt;운용규칙!$B$8,K179&gt;운용규칙!$B$7),"위반","OK"))</f>
        <v/>
      </c>
      <c r="S179" s="28"/>
    </row>
    <row r="180" customFormat="false" ht="15" hidden="false" customHeight="false" outlineLevel="0" collapsed="false">
      <c r="A180" s="28"/>
      <c r="B180" s="29"/>
      <c r="C180" s="30"/>
      <c r="D180" s="28"/>
      <c r="E180" s="28"/>
      <c r="F180" s="28"/>
      <c r="G180" s="31"/>
      <c r="H180" s="32"/>
      <c r="I180" s="33"/>
      <c r="J180" s="33"/>
      <c r="K180" s="34" t="str">
        <f aca="false">IF(H180="","",H180*I180)</f>
        <v/>
      </c>
      <c r="L180" s="34" t="str">
        <f aca="false">IF(H180="","",H180*J180)</f>
        <v/>
      </c>
      <c r="M180" s="35" t="str">
        <f aca="false">IF(H180="","",(L180-K180)/K180*10000)</f>
        <v/>
      </c>
      <c r="N180" s="34" t="str">
        <f aca="false">IF(H180="","",K180*IF(E180="업비트",운용규칙!$B$5,운용규칙!$B$6)+L180*IF(F180="업비트",운용규칙!$B$5,운용규칙!$B$6))</f>
        <v/>
      </c>
      <c r="O180" s="34" t="str">
        <f aca="false">IF(H180="","",L180-K180-N180)</f>
        <v/>
      </c>
      <c r="P180" s="35" t="str">
        <f aca="false">IF(H180="","",O180/K180*10000)</f>
        <v/>
      </c>
      <c r="Q180" s="35" t="str">
        <f aca="false">IF(OR(H180="",G180=""),"",G180-P180)</f>
        <v/>
      </c>
      <c r="R180" s="36" t="str">
        <f aca="false">IF(H180="","",IF(OR(G180&lt;운용규칙!$B$8,K180&gt;운용규칙!$B$7),"위반","OK"))</f>
        <v/>
      </c>
      <c r="S180" s="28"/>
    </row>
    <row r="181" customFormat="false" ht="15" hidden="false" customHeight="false" outlineLevel="0" collapsed="false">
      <c r="A181" s="28"/>
      <c r="B181" s="29"/>
      <c r="C181" s="30"/>
      <c r="D181" s="28"/>
      <c r="E181" s="28"/>
      <c r="F181" s="28"/>
      <c r="G181" s="31"/>
      <c r="H181" s="32"/>
      <c r="I181" s="33"/>
      <c r="J181" s="33"/>
      <c r="K181" s="34" t="str">
        <f aca="false">IF(H181="","",H181*I181)</f>
        <v/>
      </c>
      <c r="L181" s="34" t="str">
        <f aca="false">IF(H181="","",H181*J181)</f>
        <v/>
      </c>
      <c r="M181" s="35" t="str">
        <f aca="false">IF(H181="","",(L181-K181)/K181*10000)</f>
        <v/>
      </c>
      <c r="N181" s="34" t="str">
        <f aca="false">IF(H181="","",K181*IF(E181="업비트",운용규칙!$B$5,운용규칙!$B$6)+L181*IF(F181="업비트",운용규칙!$B$5,운용규칙!$B$6))</f>
        <v/>
      </c>
      <c r="O181" s="34" t="str">
        <f aca="false">IF(H181="","",L181-K181-N181)</f>
        <v/>
      </c>
      <c r="P181" s="35" t="str">
        <f aca="false">IF(H181="","",O181/K181*10000)</f>
        <v/>
      </c>
      <c r="Q181" s="35" t="str">
        <f aca="false">IF(OR(H181="",G181=""),"",G181-P181)</f>
        <v/>
      </c>
      <c r="R181" s="36" t="str">
        <f aca="false">IF(H181="","",IF(OR(G181&lt;운용규칙!$B$8,K181&gt;운용규칙!$B$7),"위반","OK"))</f>
        <v/>
      </c>
      <c r="S181" s="28"/>
    </row>
    <row r="182" customFormat="false" ht="15" hidden="false" customHeight="false" outlineLevel="0" collapsed="false">
      <c r="A182" s="28"/>
      <c r="B182" s="29"/>
      <c r="C182" s="30"/>
      <c r="D182" s="28"/>
      <c r="E182" s="28"/>
      <c r="F182" s="28"/>
      <c r="G182" s="31"/>
      <c r="H182" s="32"/>
      <c r="I182" s="33"/>
      <c r="J182" s="33"/>
      <c r="K182" s="34" t="str">
        <f aca="false">IF(H182="","",H182*I182)</f>
        <v/>
      </c>
      <c r="L182" s="34" t="str">
        <f aca="false">IF(H182="","",H182*J182)</f>
        <v/>
      </c>
      <c r="M182" s="35" t="str">
        <f aca="false">IF(H182="","",(L182-K182)/K182*10000)</f>
        <v/>
      </c>
      <c r="N182" s="34" t="str">
        <f aca="false">IF(H182="","",K182*IF(E182="업비트",운용규칙!$B$5,운용규칙!$B$6)+L182*IF(F182="업비트",운용규칙!$B$5,운용규칙!$B$6))</f>
        <v/>
      </c>
      <c r="O182" s="34" t="str">
        <f aca="false">IF(H182="","",L182-K182-N182)</f>
        <v/>
      </c>
      <c r="P182" s="35" t="str">
        <f aca="false">IF(H182="","",O182/K182*10000)</f>
        <v/>
      </c>
      <c r="Q182" s="35" t="str">
        <f aca="false">IF(OR(H182="",G182=""),"",G182-P182)</f>
        <v/>
      </c>
      <c r="R182" s="36" t="str">
        <f aca="false">IF(H182="","",IF(OR(G182&lt;운용규칙!$B$8,K182&gt;운용규칙!$B$7),"위반","OK"))</f>
        <v/>
      </c>
      <c r="S182" s="28"/>
    </row>
    <row r="183" customFormat="false" ht="15" hidden="false" customHeight="false" outlineLevel="0" collapsed="false">
      <c r="A183" s="28"/>
      <c r="B183" s="29"/>
      <c r="C183" s="30"/>
      <c r="D183" s="28"/>
      <c r="E183" s="28"/>
      <c r="F183" s="28"/>
      <c r="G183" s="31"/>
      <c r="H183" s="32"/>
      <c r="I183" s="33"/>
      <c r="J183" s="33"/>
      <c r="K183" s="34" t="str">
        <f aca="false">IF(H183="","",H183*I183)</f>
        <v/>
      </c>
      <c r="L183" s="34" t="str">
        <f aca="false">IF(H183="","",H183*J183)</f>
        <v/>
      </c>
      <c r="M183" s="35" t="str">
        <f aca="false">IF(H183="","",(L183-K183)/K183*10000)</f>
        <v/>
      </c>
      <c r="N183" s="34" t="str">
        <f aca="false">IF(H183="","",K183*IF(E183="업비트",운용규칙!$B$5,운용규칙!$B$6)+L183*IF(F183="업비트",운용규칙!$B$5,운용규칙!$B$6))</f>
        <v/>
      </c>
      <c r="O183" s="34" t="str">
        <f aca="false">IF(H183="","",L183-K183-N183)</f>
        <v/>
      </c>
      <c r="P183" s="35" t="str">
        <f aca="false">IF(H183="","",O183/K183*10000)</f>
        <v/>
      </c>
      <c r="Q183" s="35" t="str">
        <f aca="false">IF(OR(H183="",G183=""),"",G183-P183)</f>
        <v/>
      </c>
      <c r="R183" s="36" t="str">
        <f aca="false">IF(H183="","",IF(OR(G183&lt;운용규칙!$B$8,K183&gt;운용규칙!$B$7),"위반","OK"))</f>
        <v/>
      </c>
      <c r="S183" s="28"/>
    </row>
    <row r="184" customFormat="false" ht="15" hidden="false" customHeight="false" outlineLevel="0" collapsed="false">
      <c r="A184" s="28"/>
      <c r="B184" s="29"/>
      <c r="C184" s="30"/>
      <c r="D184" s="28"/>
      <c r="E184" s="28"/>
      <c r="F184" s="28"/>
      <c r="G184" s="31"/>
      <c r="H184" s="32"/>
      <c r="I184" s="33"/>
      <c r="J184" s="33"/>
      <c r="K184" s="34" t="str">
        <f aca="false">IF(H184="","",H184*I184)</f>
        <v/>
      </c>
      <c r="L184" s="34" t="str">
        <f aca="false">IF(H184="","",H184*J184)</f>
        <v/>
      </c>
      <c r="M184" s="35" t="str">
        <f aca="false">IF(H184="","",(L184-K184)/K184*10000)</f>
        <v/>
      </c>
      <c r="N184" s="34" t="str">
        <f aca="false">IF(H184="","",K184*IF(E184="업비트",운용규칙!$B$5,운용규칙!$B$6)+L184*IF(F184="업비트",운용규칙!$B$5,운용규칙!$B$6))</f>
        <v/>
      </c>
      <c r="O184" s="34" t="str">
        <f aca="false">IF(H184="","",L184-K184-N184)</f>
        <v/>
      </c>
      <c r="P184" s="35" t="str">
        <f aca="false">IF(H184="","",O184/K184*10000)</f>
        <v/>
      </c>
      <c r="Q184" s="35" t="str">
        <f aca="false">IF(OR(H184="",G184=""),"",G184-P184)</f>
        <v/>
      </c>
      <c r="R184" s="36" t="str">
        <f aca="false">IF(H184="","",IF(OR(G184&lt;운용규칙!$B$8,K184&gt;운용규칙!$B$7),"위반","OK"))</f>
        <v/>
      </c>
      <c r="S184" s="28"/>
    </row>
    <row r="185" customFormat="false" ht="15" hidden="false" customHeight="false" outlineLevel="0" collapsed="false">
      <c r="A185" s="28"/>
      <c r="B185" s="29"/>
      <c r="C185" s="30"/>
      <c r="D185" s="28"/>
      <c r="E185" s="28"/>
      <c r="F185" s="28"/>
      <c r="G185" s="31"/>
      <c r="H185" s="32"/>
      <c r="I185" s="33"/>
      <c r="J185" s="33"/>
      <c r="K185" s="34" t="str">
        <f aca="false">IF(H185="","",H185*I185)</f>
        <v/>
      </c>
      <c r="L185" s="34" t="str">
        <f aca="false">IF(H185="","",H185*J185)</f>
        <v/>
      </c>
      <c r="M185" s="35" t="str">
        <f aca="false">IF(H185="","",(L185-K185)/K185*10000)</f>
        <v/>
      </c>
      <c r="N185" s="34" t="str">
        <f aca="false">IF(H185="","",K185*IF(E185="업비트",운용규칙!$B$5,운용규칙!$B$6)+L185*IF(F185="업비트",운용규칙!$B$5,운용규칙!$B$6))</f>
        <v/>
      </c>
      <c r="O185" s="34" t="str">
        <f aca="false">IF(H185="","",L185-K185-N185)</f>
        <v/>
      </c>
      <c r="P185" s="35" t="str">
        <f aca="false">IF(H185="","",O185/K185*10000)</f>
        <v/>
      </c>
      <c r="Q185" s="35" t="str">
        <f aca="false">IF(OR(H185="",G185=""),"",G185-P185)</f>
        <v/>
      </c>
      <c r="R185" s="36" t="str">
        <f aca="false">IF(H185="","",IF(OR(G185&lt;운용규칙!$B$8,K185&gt;운용규칙!$B$7),"위반","OK"))</f>
        <v/>
      </c>
      <c r="S185" s="28"/>
    </row>
    <row r="186" customFormat="false" ht="15" hidden="false" customHeight="false" outlineLevel="0" collapsed="false">
      <c r="A186" s="28"/>
      <c r="B186" s="29"/>
      <c r="C186" s="30"/>
      <c r="D186" s="28"/>
      <c r="E186" s="28"/>
      <c r="F186" s="28"/>
      <c r="G186" s="31"/>
      <c r="H186" s="32"/>
      <c r="I186" s="33"/>
      <c r="J186" s="33"/>
      <c r="K186" s="34" t="str">
        <f aca="false">IF(H186="","",H186*I186)</f>
        <v/>
      </c>
      <c r="L186" s="34" t="str">
        <f aca="false">IF(H186="","",H186*J186)</f>
        <v/>
      </c>
      <c r="M186" s="35" t="str">
        <f aca="false">IF(H186="","",(L186-K186)/K186*10000)</f>
        <v/>
      </c>
      <c r="N186" s="34" t="str">
        <f aca="false">IF(H186="","",K186*IF(E186="업비트",운용규칙!$B$5,운용규칙!$B$6)+L186*IF(F186="업비트",운용규칙!$B$5,운용규칙!$B$6))</f>
        <v/>
      </c>
      <c r="O186" s="34" t="str">
        <f aca="false">IF(H186="","",L186-K186-N186)</f>
        <v/>
      </c>
      <c r="P186" s="35" t="str">
        <f aca="false">IF(H186="","",O186/K186*10000)</f>
        <v/>
      </c>
      <c r="Q186" s="35" t="str">
        <f aca="false">IF(OR(H186="",G186=""),"",G186-P186)</f>
        <v/>
      </c>
      <c r="R186" s="36" t="str">
        <f aca="false">IF(H186="","",IF(OR(G186&lt;운용규칙!$B$8,K186&gt;운용규칙!$B$7),"위반","OK"))</f>
        <v/>
      </c>
      <c r="S186" s="28"/>
    </row>
    <row r="187" customFormat="false" ht="15" hidden="false" customHeight="false" outlineLevel="0" collapsed="false">
      <c r="A187" s="28"/>
      <c r="B187" s="29"/>
      <c r="C187" s="30"/>
      <c r="D187" s="28"/>
      <c r="E187" s="28"/>
      <c r="F187" s="28"/>
      <c r="G187" s="31"/>
      <c r="H187" s="32"/>
      <c r="I187" s="33"/>
      <c r="J187" s="33"/>
      <c r="K187" s="34" t="str">
        <f aca="false">IF(H187="","",H187*I187)</f>
        <v/>
      </c>
      <c r="L187" s="34" t="str">
        <f aca="false">IF(H187="","",H187*J187)</f>
        <v/>
      </c>
      <c r="M187" s="35" t="str">
        <f aca="false">IF(H187="","",(L187-K187)/K187*10000)</f>
        <v/>
      </c>
      <c r="N187" s="34" t="str">
        <f aca="false">IF(H187="","",K187*IF(E187="업비트",운용규칙!$B$5,운용규칙!$B$6)+L187*IF(F187="업비트",운용규칙!$B$5,운용규칙!$B$6))</f>
        <v/>
      </c>
      <c r="O187" s="34" t="str">
        <f aca="false">IF(H187="","",L187-K187-N187)</f>
        <v/>
      </c>
      <c r="P187" s="35" t="str">
        <f aca="false">IF(H187="","",O187/K187*10000)</f>
        <v/>
      </c>
      <c r="Q187" s="35" t="str">
        <f aca="false">IF(OR(H187="",G187=""),"",G187-P187)</f>
        <v/>
      </c>
      <c r="R187" s="36" t="str">
        <f aca="false">IF(H187="","",IF(OR(G187&lt;운용규칙!$B$8,K187&gt;운용규칙!$B$7),"위반","OK"))</f>
        <v/>
      </c>
      <c r="S187" s="28"/>
    </row>
    <row r="188" customFormat="false" ht="15" hidden="false" customHeight="false" outlineLevel="0" collapsed="false">
      <c r="A188" s="28"/>
      <c r="B188" s="29"/>
      <c r="C188" s="30"/>
      <c r="D188" s="28"/>
      <c r="E188" s="28"/>
      <c r="F188" s="28"/>
      <c r="G188" s="31"/>
      <c r="H188" s="32"/>
      <c r="I188" s="33"/>
      <c r="J188" s="33"/>
      <c r="K188" s="34" t="str">
        <f aca="false">IF(H188="","",H188*I188)</f>
        <v/>
      </c>
      <c r="L188" s="34" t="str">
        <f aca="false">IF(H188="","",H188*J188)</f>
        <v/>
      </c>
      <c r="M188" s="35" t="str">
        <f aca="false">IF(H188="","",(L188-K188)/K188*10000)</f>
        <v/>
      </c>
      <c r="N188" s="34" t="str">
        <f aca="false">IF(H188="","",K188*IF(E188="업비트",운용규칙!$B$5,운용규칙!$B$6)+L188*IF(F188="업비트",운용규칙!$B$5,운용규칙!$B$6))</f>
        <v/>
      </c>
      <c r="O188" s="34" t="str">
        <f aca="false">IF(H188="","",L188-K188-N188)</f>
        <v/>
      </c>
      <c r="P188" s="35" t="str">
        <f aca="false">IF(H188="","",O188/K188*10000)</f>
        <v/>
      </c>
      <c r="Q188" s="35" t="str">
        <f aca="false">IF(OR(H188="",G188=""),"",G188-P188)</f>
        <v/>
      </c>
      <c r="R188" s="36" t="str">
        <f aca="false">IF(H188="","",IF(OR(G188&lt;운용규칙!$B$8,K188&gt;운용규칙!$B$7),"위반","OK"))</f>
        <v/>
      </c>
      <c r="S188" s="28"/>
    </row>
    <row r="189" customFormat="false" ht="15" hidden="false" customHeight="false" outlineLevel="0" collapsed="false">
      <c r="A189" s="28"/>
      <c r="B189" s="29"/>
      <c r="C189" s="30"/>
      <c r="D189" s="28"/>
      <c r="E189" s="28"/>
      <c r="F189" s="28"/>
      <c r="G189" s="31"/>
      <c r="H189" s="32"/>
      <c r="I189" s="33"/>
      <c r="J189" s="33"/>
      <c r="K189" s="34" t="str">
        <f aca="false">IF(H189="","",H189*I189)</f>
        <v/>
      </c>
      <c r="L189" s="34" t="str">
        <f aca="false">IF(H189="","",H189*J189)</f>
        <v/>
      </c>
      <c r="M189" s="35" t="str">
        <f aca="false">IF(H189="","",(L189-K189)/K189*10000)</f>
        <v/>
      </c>
      <c r="N189" s="34" t="str">
        <f aca="false">IF(H189="","",K189*IF(E189="업비트",운용규칙!$B$5,운용규칙!$B$6)+L189*IF(F189="업비트",운용규칙!$B$5,운용규칙!$B$6))</f>
        <v/>
      </c>
      <c r="O189" s="34" t="str">
        <f aca="false">IF(H189="","",L189-K189-N189)</f>
        <v/>
      </c>
      <c r="P189" s="35" t="str">
        <f aca="false">IF(H189="","",O189/K189*10000)</f>
        <v/>
      </c>
      <c r="Q189" s="35" t="str">
        <f aca="false">IF(OR(H189="",G189=""),"",G189-P189)</f>
        <v/>
      </c>
      <c r="R189" s="36" t="str">
        <f aca="false">IF(H189="","",IF(OR(G189&lt;운용규칙!$B$8,K189&gt;운용규칙!$B$7),"위반","OK"))</f>
        <v/>
      </c>
      <c r="S189" s="28"/>
    </row>
    <row r="190" customFormat="false" ht="15" hidden="false" customHeight="false" outlineLevel="0" collapsed="false">
      <c r="A190" s="28"/>
      <c r="B190" s="29"/>
      <c r="C190" s="30"/>
      <c r="D190" s="28"/>
      <c r="E190" s="28"/>
      <c r="F190" s="28"/>
      <c r="G190" s="31"/>
      <c r="H190" s="32"/>
      <c r="I190" s="33"/>
      <c r="J190" s="33"/>
      <c r="K190" s="34" t="str">
        <f aca="false">IF(H190="","",H190*I190)</f>
        <v/>
      </c>
      <c r="L190" s="34" t="str">
        <f aca="false">IF(H190="","",H190*J190)</f>
        <v/>
      </c>
      <c r="M190" s="35" t="str">
        <f aca="false">IF(H190="","",(L190-K190)/K190*10000)</f>
        <v/>
      </c>
      <c r="N190" s="34" t="str">
        <f aca="false">IF(H190="","",K190*IF(E190="업비트",운용규칙!$B$5,운용규칙!$B$6)+L190*IF(F190="업비트",운용규칙!$B$5,운용규칙!$B$6))</f>
        <v/>
      </c>
      <c r="O190" s="34" t="str">
        <f aca="false">IF(H190="","",L190-K190-N190)</f>
        <v/>
      </c>
      <c r="P190" s="35" t="str">
        <f aca="false">IF(H190="","",O190/K190*10000)</f>
        <v/>
      </c>
      <c r="Q190" s="35" t="str">
        <f aca="false">IF(OR(H190="",G190=""),"",G190-P190)</f>
        <v/>
      </c>
      <c r="R190" s="36" t="str">
        <f aca="false">IF(H190="","",IF(OR(G190&lt;운용규칙!$B$8,K190&gt;운용규칙!$B$7),"위반","OK"))</f>
        <v/>
      </c>
      <c r="S190" s="28"/>
    </row>
    <row r="191" customFormat="false" ht="15" hidden="false" customHeight="false" outlineLevel="0" collapsed="false">
      <c r="A191" s="28"/>
      <c r="B191" s="29"/>
      <c r="C191" s="30"/>
      <c r="D191" s="28"/>
      <c r="E191" s="28"/>
      <c r="F191" s="28"/>
      <c r="G191" s="31"/>
      <c r="H191" s="32"/>
      <c r="I191" s="33"/>
      <c r="J191" s="33"/>
      <c r="K191" s="34" t="str">
        <f aca="false">IF(H191="","",H191*I191)</f>
        <v/>
      </c>
      <c r="L191" s="34" t="str">
        <f aca="false">IF(H191="","",H191*J191)</f>
        <v/>
      </c>
      <c r="M191" s="35" t="str">
        <f aca="false">IF(H191="","",(L191-K191)/K191*10000)</f>
        <v/>
      </c>
      <c r="N191" s="34" t="str">
        <f aca="false">IF(H191="","",K191*IF(E191="업비트",운용규칙!$B$5,운용규칙!$B$6)+L191*IF(F191="업비트",운용규칙!$B$5,운용규칙!$B$6))</f>
        <v/>
      </c>
      <c r="O191" s="34" t="str">
        <f aca="false">IF(H191="","",L191-K191-N191)</f>
        <v/>
      </c>
      <c r="P191" s="35" t="str">
        <f aca="false">IF(H191="","",O191/K191*10000)</f>
        <v/>
      </c>
      <c r="Q191" s="35" t="str">
        <f aca="false">IF(OR(H191="",G191=""),"",G191-P191)</f>
        <v/>
      </c>
      <c r="R191" s="36" t="str">
        <f aca="false">IF(H191="","",IF(OR(G191&lt;운용규칙!$B$8,K191&gt;운용규칙!$B$7),"위반","OK"))</f>
        <v/>
      </c>
      <c r="S191" s="28"/>
    </row>
    <row r="192" customFormat="false" ht="15" hidden="false" customHeight="false" outlineLevel="0" collapsed="false">
      <c r="A192" s="28"/>
      <c r="B192" s="29"/>
      <c r="C192" s="30"/>
      <c r="D192" s="28"/>
      <c r="E192" s="28"/>
      <c r="F192" s="28"/>
      <c r="G192" s="31"/>
      <c r="H192" s="32"/>
      <c r="I192" s="33"/>
      <c r="J192" s="33"/>
      <c r="K192" s="34" t="str">
        <f aca="false">IF(H192="","",H192*I192)</f>
        <v/>
      </c>
      <c r="L192" s="34" t="str">
        <f aca="false">IF(H192="","",H192*J192)</f>
        <v/>
      </c>
      <c r="M192" s="35" t="str">
        <f aca="false">IF(H192="","",(L192-K192)/K192*10000)</f>
        <v/>
      </c>
      <c r="N192" s="34" t="str">
        <f aca="false">IF(H192="","",K192*IF(E192="업비트",운용규칙!$B$5,운용규칙!$B$6)+L192*IF(F192="업비트",운용규칙!$B$5,운용규칙!$B$6))</f>
        <v/>
      </c>
      <c r="O192" s="34" t="str">
        <f aca="false">IF(H192="","",L192-K192-N192)</f>
        <v/>
      </c>
      <c r="P192" s="35" t="str">
        <f aca="false">IF(H192="","",O192/K192*10000)</f>
        <v/>
      </c>
      <c r="Q192" s="35" t="str">
        <f aca="false">IF(OR(H192="",G192=""),"",G192-P192)</f>
        <v/>
      </c>
      <c r="R192" s="36" t="str">
        <f aca="false">IF(H192="","",IF(OR(G192&lt;운용규칙!$B$8,K192&gt;운용규칙!$B$7),"위반","OK"))</f>
        <v/>
      </c>
      <c r="S192" s="28"/>
    </row>
    <row r="193" customFormat="false" ht="15" hidden="false" customHeight="false" outlineLevel="0" collapsed="false">
      <c r="A193" s="28"/>
      <c r="B193" s="29"/>
      <c r="C193" s="30"/>
      <c r="D193" s="28"/>
      <c r="E193" s="28"/>
      <c r="F193" s="28"/>
      <c r="G193" s="31"/>
      <c r="H193" s="32"/>
      <c r="I193" s="33"/>
      <c r="J193" s="33"/>
      <c r="K193" s="34" t="str">
        <f aca="false">IF(H193="","",H193*I193)</f>
        <v/>
      </c>
      <c r="L193" s="34" t="str">
        <f aca="false">IF(H193="","",H193*J193)</f>
        <v/>
      </c>
      <c r="M193" s="35" t="str">
        <f aca="false">IF(H193="","",(L193-K193)/K193*10000)</f>
        <v/>
      </c>
      <c r="N193" s="34" t="str">
        <f aca="false">IF(H193="","",K193*IF(E193="업비트",운용규칙!$B$5,운용규칙!$B$6)+L193*IF(F193="업비트",운용규칙!$B$5,운용규칙!$B$6))</f>
        <v/>
      </c>
      <c r="O193" s="34" t="str">
        <f aca="false">IF(H193="","",L193-K193-N193)</f>
        <v/>
      </c>
      <c r="P193" s="35" t="str">
        <f aca="false">IF(H193="","",O193/K193*10000)</f>
        <v/>
      </c>
      <c r="Q193" s="35" t="str">
        <f aca="false">IF(OR(H193="",G193=""),"",G193-P193)</f>
        <v/>
      </c>
      <c r="R193" s="36" t="str">
        <f aca="false">IF(H193="","",IF(OR(G193&lt;운용규칙!$B$8,K193&gt;운용규칙!$B$7),"위반","OK"))</f>
        <v/>
      </c>
      <c r="S193" s="28"/>
    </row>
    <row r="194" customFormat="false" ht="15" hidden="false" customHeight="false" outlineLevel="0" collapsed="false">
      <c r="A194" s="28"/>
      <c r="B194" s="29"/>
      <c r="C194" s="30"/>
      <c r="D194" s="28"/>
      <c r="E194" s="28"/>
      <c r="F194" s="28"/>
      <c r="G194" s="31"/>
      <c r="H194" s="32"/>
      <c r="I194" s="33"/>
      <c r="J194" s="33"/>
      <c r="K194" s="34" t="str">
        <f aca="false">IF(H194="","",H194*I194)</f>
        <v/>
      </c>
      <c r="L194" s="34" t="str">
        <f aca="false">IF(H194="","",H194*J194)</f>
        <v/>
      </c>
      <c r="M194" s="35" t="str">
        <f aca="false">IF(H194="","",(L194-K194)/K194*10000)</f>
        <v/>
      </c>
      <c r="N194" s="34" t="str">
        <f aca="false">IF(H194="","",K194*IF(E194="업비트",운용규칙!$B$5,운용규칙!$B$6)+L194*IF(F194="업비트",운용규칙!$B$5,운용규칙!$B$6))</f>
        <v/>
      </c>
      <c r="O194" s="34" t="str">
        <f aca="false">IF(H194="","",L194-K194-N194)</f>
        <v/>
      </c>
      <c r="P194" s="35" t="str">
        <f aca="false">IF(H194="","",O194/K194*10000)</f>
        <v/>
      </c>
      <c r="Q194" s="35" t="str">
        <f aca="false">IF(OR(H194="",G194=""),"",G194-P194)</f>
        <v/>
      </c>
      <c r="R194" s="36" t="str">
        <f aca="false">IF(H194="","",IF(OR(G194&lt;운용규칙!$B$8,K194&gt;운용규칙!$B$7),"위반","OK"))</f>
        <v/>
      </c>
      <c r="S194" s="28"/>
    </row>
    <row r="195" customFormat="false" ht="15" hidden="false" customHeight="false" outlineLevel="0" collapsed="false">
      <c r="A195" s="28"/>
      <c r="B195" s="29"/>
      <c r="C195" s="30"/>
      <c r="D195" s="28"/>
      <c r="E195" s="28"/>
      <c r="F195" s="28"/>
      <c r="G195" s="31"/>
      <c r="H195" s="32"/>
      <c r="I195" s="33"/>
      <c r="J195" s="33"/>
      <c r="K195" s="34" t="str">
        <f aca="false">IF(H195="","",H195*I195)</f>
        <v/>
      </c>
      <c r="L195" s="34" t="str">
        <f aca="false">IF(H195="","",H195*J195)</f>
        <v/>
      </c>
      <c r="M195" s="35" t="str">
        <f aca="false">IF(H195="","",(L195-K195)/K195*10000)</f>
        <v/>
      </c>
      <c r="N195" s="34" t="str">
        <f aca="false">IF(H195="","",K195*IF(E195="업비트",운용규칙!$B$5,운용규칙!$B$6)+L195*IF(F195="업비트",운용규칙!$B$5,운용규칙!$B$6))</f>
        <v/>
      </c>
      <c r="O195" s="34" t="str">
        <f aca="false">IF(H195="","",L195-K195-N195)</f>
        <v/>
      </c>
      <c r="P195" s="35" t="str">
        <f aca="false">IF(H195="","",O195/K195*10000)</f>
        <v/>
      </c>
      <c r="Q195" s="35" t="str">
        <f aca="false">IF(OR(H195="",G195=""),"",G195-P195)</f>
        <v/>
      </c>
      <c r="R195" s="36" t="str">
        <f aca="false">IF(H195="","",IF(OR(G195&lt;운용규칙!$B$8,K195&gt;운용규칙!$B$7),"위반","OK"))</f>
        <v/>
      </c>
      <c r="S195" s="28"/>
    </row>
    <row r="196" customFormat="false" ht="15" hidden="false" customHeight="false" outlineLevel="0" collapsed="false">
      <c r="A196" s="28"/>
      <c r="B196" s="29"/>
      <c r="C196" s="30"/>
      <c r="D196" s="28"/>
      <c r="E196" s="28"/>
      <c r="F196" s="28"/>
      <c r="G196" s="31"/>
      <c r="H196" s="32"/>
      <c r="I196" s="33"/>
      <c r="J196" s="33"/>
      <c r="K196" s="34" t="str">
        <f aca="false">IF(H196="","",H196*I196)</f>
        <v/>
      </c>
      <c r="L196" s="34" t="str">
        <f aca="false">IF(H196="","",H196*J196)</f>
        <v/>
      </c>
      <c r="M196" s="35" t="str">
        <f aca="false">IF(H196="","",(L196-K196)/K196*10000)</f>
        <v/>
      </c>
      <c r="N196" s="34" t="str">
        <f aca="false">IF(H196="","",K196*IF(E196="업비트",운용규칙!$B$5,운용규칙!$B$6)+L196*IF(F196="업비트",운용규칙!$B$5,운용규칙!$B$6))</f>
        <v/>
      </c>
      <c r="O196" s="34" t="str">
        <f aca="false">IF(H196="","",L196-K196-N196)</f>
        <v/>
      </c>
      <c r="P196" s="35" t="str">
        <f aca="false">IF(H196="","",O196/K196*10000)</f>
        <v/>
      </c>
      <c r="Q196" s="35" t="str">
        <f aca="false">IF(OR(H196="",G196=""),"",G196-P196)</f>
        <v/>
      </c>
      <c r="R196" s="36" t="str">
        <f aca="false">IF(H196="","",IF(OR(G196&lt;운용규칙!$B$8,K196&gt;운용규칙!$B$7),"위반","OK"))</f>
        <v/>
      </c>
      <c r="S196" s="28"/>
    </row>
    <row r="197" customFormat="false" ht="15" hidden="false" customHeight="false" outlineLevel="0" collapsed="false">
      <c r="A197" s="28"/>
      <c r="B197" s="29"/>
      <c r="C197" s="30"/>
      <c r="D197" s="28"/>
      <c r="E197" s="28"/>
      <c r="F197" s="28"/>
      <c r="G197" s="31"/>
      <c r="H197" s="32"/>
      <c r="I197" s="33"/>
      <c r="J197" s="33"/>
      <c r="K197" s="34" t="str">
        <f aca="false">IF(H197="","",H197*I197)</f>
        <v/>
      </c>
      <c r="L197" s="34" t="str">
        <f aca="false">IF(H197="","",H197*J197)</f>
        <v/>
      </c>
      <c r="M197" s="35" t="str">
        <f aca="false">IF(H197="","",(L197-K197)/K197*10000)</f>
        <v/>
      </c>
      <c r="N197" s="34" t="str">
        <f aca="false">IF(H197="","",K197*IF(E197="업비트",운용규칙!$B$5,운용규칙!$B$6)+L197*IF(F197="업비트",운용규칙!$B$5,운용규칙!$B$6))</f>
        <v/>
      </c>
      <c r="O197" s="34" t="str">
        <f aca="false">IF(H197="","",L197-K197-N197)</f>
        <v/>
      </c>
      <c r="P197" s="35" t="str">
        <f aca="false">IF(H197="","",O197/K197*10000)</f>
        <v/>
      </c>
      <c r="Q197" s="35" t="str">
        <f aca="false">IF(OR(H197="",G197=""),"",G197-P197)</f>
        <v/>
      </c>
      <c r="R197" s="36" t="str">
        <f aca="false">IF(H197="","",IF(OR(G197&lt;운용규칙!$B$8,K197&gt;운용규칙!$B$7),"위반","OK"))</f>
        <v/>
      </c>
      <c r="S197" s="28"/>
    </row>
    <row r="198" customFormat="false" ht="15" hidden="false" customHeight="false" outlineLevel="0" collapsed="false">
      <c r="A198" s="28"/>
      <c r="B198" s="29"/>
      <c r="C198" s="30"/>
      <c r="D198" s="28"/>
      <c r="E198" s="28"/>
      <c r="F198" s="28"/>
      <c r="G198" s="31"/>
      <c r="H198" s="32"/>
      <c r="I198" s="33"/>
      <c r="J198" s="33"/>
      <c r="K198" s="34" t="str">
        <f aca="false">IF(H198="","",H198*I198)</f>
        <v/>
      </c>
      <c r="L198" s="34" t="str">
        <f aca="false">IF(H198="","",H198*J198)</f>
        <v/>
      </c>
      <c r="M198" s="35" t="str">
        <f aca="false">IF(H198="","",(L198-K198)/K198*10000)</f>
        <v/>
      </c>
      <c r="N198" s="34" t="str">
        <f aca="false">IF(H198="","",K198*IF(E198="업비트",운용규칙!$B$5,운용규칙!$B$6)+L198*IF(F198="업비트",운용규칙!$B$5,운용규칙!$B$6))</f>
        <v/>
      </c>
      <c r="O198" s="34" t="str">
        <f aca="false">IF(H198="","",L198-K198-N198)</f>
        <v/>
      </c>
      <c r="P198" s="35" t="str">
        <f aca="false">IF(H198="","",O198/K198*10000)</f>
        <v/>
      </c>
      <c r="Q198" s="35" t="str">
        <f aca="false">IF(OR(H198="",G198=""),"",G198-P198)</f>
        <v/>
      </c>
      <c r="R198" s="36" t="str">
        <f aca="false">IF(H198="","",IF(OR(G198&lt;운용규칙!$B$8,K198&gt;운용규칙!$B$7),"위반","OK"))</f>
        <v/>
      </c>
      <c r="S198" s="28"/>
    </row>
    <row r="199" customFormat="false" ht="15" hidden="false" customHeight="false" outlineLevel="0" collapsed="false">
      <c r="A199" s="28"/>
      <c r="B199" s="29"/>
      <c r="C199" s="30"/>
      <c r="D199" s="28"/>
      <c r="E199" s="28"/>
      <c r="F199" s="28"/>
      <c r="G199" s="31"/>
      <c r="H199" s="32"/>
      <c r="I199" s="33"/>
      <c r="J199" s="33"/>
      <c r="K199" s="34" t="str">
        <f aca="false">IF(H199="","",H199*I199)</f>
        <v/>
      </c>
      <c r="L199" s="34" t="str">
        <f aca="false">IF(H199="","",H199*J199)</f>
        <v/>
      </c>
      <c r="M199" s="35" t="str">
        <f aca="false">IF(H199="","",(L199-K199)/K199*10000)</f>
        <v/>
      </c>
      <c r="N199" s="34" t="str">
        <f aca="false">IF(H199="","",K199*IF(E199="업비트",운용규칙!$B$5,운용규칙!$B$6)+L199*IF(F199="업비트",운용규칙!$B$5,운용규칙!$B$6))</f>
        <v/>
      </c>
      <c r="O199" s="34" t="str">
        <f aca="false">IF(H199="","",L199-K199-N199)</f>
        <v/>
      </c>
      <c r="P199" s="35" t="str">
        <f aca="false">IF(H199="","",O199/K199*10000)</f>
        <v/>
      </c>
      <c r="Q199" s="35" t="str">
        <f aca="false">IF(OR(H199="",G199=""),"",G199-P199)</f>
        <v/>
      </c>
      <c r="R199" s="36" t="str">
        <f aca="false">IF(H199="","",IF(OR(G199&lt;운용규칙!$B$8,K199&gt;운용규칙!$B$7),"위반","OK"))</f>
        <v/>
      </c>
      <c r="S199" s="28"/>
    </row>
    <row r="200" customFormat="false" ht="15" hidden="false" customHeight="false" outlineLevel="0" collapsed="false">
      <c r="A200" s="28"/>
      <c r="B200" s="29"/>
      <c r="C200" s="30"/>
      <c r="D200" s="28"/>
      <c r="E200" s="28"/>
      <c r="F200" s="28"/>
      <c r="G200" s="31"/>
      <c r="H200" s="32"/>
      <c r="I200" s="33"/>
      <c r="J200" s="33"/>
      <c r="K200" s="34" t="str">
        <f aca="false">IF(H200="","",H200*I200)</f>
        <v/>
      </c>
      <c r="L200" s="34" t="str">
        <f aca="false">IF(H200="","",H200*J200)</f>
        <v/>
      </c>
      <c r="M200" s="35" t="str">
        <f aca="false">IF(H200="","",(L200-K200)/K200*10000)</f>
        <v/>
      </c>
      <c r="N200" s="34" t="str">
        <f aca="false">IF(H200="","",K200*IF(E200="업비트",운용규칙!$B$5,운용규칙!$B$6)+L200*IF(F200="업비트",운용규칙!$B$5,운용규칙!$B$6))</f>
        <v/>
      </c>
      <c r="O200" s="34" t="str">
        <f aca="false">IF(H200="","",L200-K200-N200)</f>
        <v/>
      </c>
      <c r="P200" s="35" t="str">
        <f aca="false">IF(H200="","",O200/K200*10000)</f>
        <v/>
      </c>
      <c r="Q200" s="35" t="str">
        <f aca="false">IF(OR(H200="",G200=""),"",G200-P200)</f>
        <v/>
      </c>
      <c r="R200" s="36" t="str">
        <f aca="false">IF(H200="","",IF(OR(G200&lt;운용규칙!$B$8,K200&gt;운용규칙!$B$7),"위반","OK"))</f>
        <v/>
      </c>
      <c r="S200" s="28"/>
    </row>
    <row r="201" customFormat="false" ht="15" hidden="false" customHeight="false" outlineLevel="0" collapsed="false">
      <c r="A201" s="28"/>
      <c r="B201" s="29"/>
      <c r="C201" s="30"/>
      <c r="D201" s="28"/>
      <c r="E201" s="28"/>
      <c r="F201" s="28"/>
      <c r="G201" s="31"/>
      <c r="H201" s="32"/>
      <c r="I201" s="33"/>
      <c r="J201" s="33"/>
      <c r="K201" s="34" t="str">
        <f aca="false">IF(H201="","",H201*I201)</f>
        <v/>
      </c>
      <c r="L201" s="34" t="str">
        <f aca="false">IF(H201="","",H201*J201)</f>
        <v/>
      </c>
      <c r="M201" s="35" t="str">
        <f aca="false">IF(H201="","",(L201-K201)/K201*10000)</f>
        <v/>
      </c>
      <c r="N201" s="34" t="str">
        <f aca="false">IF(H201="","",K201*IF(E201="업비트",운용규칙!$B$5,운용규칙!$B$6)+L201*IF(F201="업비트",운용규칙!$B$5,운용규칙!$B$6))</f>
        <v/>
      </c>
      <c r="O201" s="34" t="str">
        <f aca="false">IF(H201="","",L201-K201-N201)</f>
        <v/>
      </c>
      <c r="P201" s="35" t="str">
        <f aca="false">IF(H201="","",O201/K201*10000)</f>
        <v/>
      </c>
      <c r="Q201" s="35" t="str">
        <f aca="false">IF(OR(H201="",G201=""),"",G201-P201)</f>
        <v/>
      </c>
      <c r="R201" s="36" t="str">
        <f aca="false">IF(H201="","",IF(OR(G201&lt;운용규칙!$B$8,K201&gt;운용규칙!$B$7),"위반","OK"))</f>
        <v/>
      </c>
      <c r="S201" s="28"/>
    </row>
    <row r="202" customFormat="false" ht="15" hidden="false" customHeight="false" outlineLevel="0" collapsed="false">
      <c r="A202" s="28"/>
      <c r="B202" s="29"/>
      <c r="C202" s="30"/>
      <c r="D202" s="28"/>
      <c r="E202" s="28"/>
      <c r="F202" s="28"/>
      <c r="G202" s="31"/>
      <c r="H202" s="32"/>
      <c r="I202" s="33"/>
      <c r="J202" s="33"/>
      <c r="K202" s="34" t="str">
        <f aca="false">IF(H202="","",H202*I202)</f>
        <v/>
      </c>
      <c r="L202" s="34" t="str">
        <f aca="false">IF(H202="","",H202*J202)</f>
        <v/>
      </c>
      <c r="M202" s="35" t="str">
        <f aca="false">IF(H202="","",(L202-K202)/K202*10000)</f>
        <v/>
      </c>
      <c r="N202" s="34" t="str">
        <f aca="false">IF(H202="","",K202*IF(E202="업비트",운용규칙!$B$5,운용규칙!$B$6)+L202*IF(F202="업비트",운용규칙!$B$5,운용규칙!$B$6))</f>
        <v/>
      </c>
      <c r="O202" s="34" t="str">
        <f aca="false">IF(H202="","",L202-K202-N202)</f>
        <v/>
      </c>
      <c r="P202" s="35" t="str">
        <f aca="false">IF(H202="","",O202/K202*10000)</f>
        <v/>
      </c>
      <c r="Q202" s="35" t="str">
        <f aca="false">IF(OR(H202="",G202=""),"",G202-P202)</f>
        <v/>
      </c>
      <c r="R202" s="36" t="str">
        <f aca="false">IF(H202="","",IF(OR(G202&lt;운용규칙!$B$8,K202&gt;운용규칙!$B$7),"위반","OK"))</f>
        <v/>
      </c>
      <c r="S202" s="28"/>
    </row>
    <row r="203" customFormat="false" ht="15" hidden="false" customHeight="false" outlineLevel="0" collapsed="false">
      <c r="A203" s="28"/>
      <c r="B203" s="29"/>
      <c r="C203" s="30"/>
      <c r="D203" s="28"/>
      <c r="E203" s="28"/>
      <c r="F203" s="28"/>
      <c r="G203" s="31"/>
      <c r="H203" s="32"/>
      <c r="I203" s="33"/>
      <c r="J203" s="33"/>
      <c r="K203" s="34" t="str">
        <f aca="false">IF(H203="","",H203*I203)</f>
        <v/>
      </c>
      <c r="L203" s="34" t="str">
        <f aca="false">IF(H203="","",H203*J203)</f>
        <v/>
      </c>
      <c r="M203" s="35" t="str">
        <f aca="false">IF(H203="","",(L203-K203)/K203*10000)</f>
        <v/>
      </c>
      <c r="N203" s="34" t="str">
        <f aca="false">IF(H203="","",K203*IF(E203="업비트",운용규칙!$B$5,운용규칙!$B$6)+L203*IF(F203="업비트",운용규칙!$B$5,운용규칙!$B$6))</f>
        <v/>
      </c>
      <c r="O203" s="34" t="str">
        <f aca="false">IF(H203="","",L203-K203-N203)</f>
        <v/>
      </c>
      <c r="P203" s="35" t="str">
        <f aca="false">IF(H203="","",O203/K203*10000)</f>
        <v/>
      </c>
      <c r="Q203" s="35" t="str">
        <f aca="false">IF(OR(H203="",G203=""),"",G203-P203)</f>
        <v/>
      </c>
      <c r="R203" s="36" t="str">
        <f aca="false">IF(H203="","",IF(OR(G203&lt;운용규칙!$B$8,K203&gt;운용규칙!$B$7),"위반","OK"))</f>
        <v/>
      </c>
      <c r="S203" s="28"/>
    </row>
    <row r="204" customFormat="false" ht="15" hidden="false" customHeight="false" outlineLevel="0" collapsed="false">
      <c r="A204" s="28"/>
      <c r="B204" s="29"/>
      <c r="C204" s="30"/>
      <c r="D204" s="28"/>
      <c r="E204" s="28"/>
      <c r="F204" s="28"/>
      <c r="G204" s="31"/>
      <c r="H204" s="32"/>
      <c r="I204" s="33"/>
      <c r="J204" s="33"/>
      <c r="K204" s="34" t="str">
        <f aca="false">IF(H204="","",H204*I204)</f>
        <v/>
      </c>
      <c r="L204" s="34" t="str">
        <f aca="false">IF(H204="","",H204*J204)</f>
        <v/>
      </c>
      <c r="M204" s="35" t="str">
        <f aca="false">IF(H204="","",(L204-K204)/K204*10000)</f>
        <v/>
      </c>
      <c r="N204" s="34" t="str">
        <f aca="false">IF(H204="","",K204*IF(E204="업비트",운용규칙!$B$5,운용규칙!$B$6)+L204*IF(F204="업비트",운용규칙!$B$5,운용규칙!$B$6))</f>
        <v/>
      </c>
      <c r="O204" s="34" t="str">
        <f aca="false">IF(H204="","",L204-K204-N204)</f>
        <v/>
      </c>
      <c r="P204" s="35" t="str">
        <f aca="false">IF(H204="","",O204/K204*10000)</f>
        <v/>
      </c>
      <c r="Q204" s="35" t="str">
        <f aca="false">IF(OR(H204="",G204=""),"",G204-P204)</f>
        <v/>
      </c>
      <c r="R204" s="36" t="str">
        <f aca="false">IF(H204="","",IF(OR(G204&lt;운용규칙!$B$8,K204&gt;운용규칙!$B$7),"위반","OK"))</f>
        <v/>
      </c>
      <c r="S204" s="28"/>
    </row>
    <row r="205" customFormat="false" ht="15" hidden="false" customHeight="false" outlineLevel="0" collapsed="false">
      <c r="A205" s="28"/>
      <c r="B205" s="29"/>
      <c r="C205" s="30"/>
      <c r="D205" s="28"/>
      <c r="E205" s="28"/>
      <c r="F205" s="28"/>
      <c r="G205" s="31"/>
      <c r="H205" s="32"/>
      <c r="I205" s="33"/>
      <c r="J205" s="33"/>
      <c r="K205" s="34" t="str">
        <f aca="false">IF(H205="","",H205*I205)</f>
        <v/>
      </c>
      <c r="L205" s="34" t="str">
        <f aca="false">IF(H205="","",H205*J205)</f>
        <v/>
      </c>
      <c r="M205" s="35" t="str">
        <f aca="false">IF(H205="","",(L205-K205)/K205*10000)</f>
        <v/>
      </c>
      <c r="N205" s="34" t="str">
        <f aca="false">IF(H205="","",K205*IF(E205="업비트",운용규칙!$B$5,운용규칙!$B$6)+L205*IF(F205="업비트",운용규칙!$B$5,운용규칙!$B$6))</f>
        <v/>
      </c>
      <c r="O205" s="34" t="str">
        <f aca="false">IF(H205="","",L205-K205-N205)</f>
        <v/>
      </c>
      <c r="P205" s="35" t="str">
        <f aca="false">IF(H205="","",O205/K205*10000)</f>
        <v/>
      </c>
      <c r="Q205" s="35" t="str">
        <f aca="false">IF(OR(H205="",G205=""),"",G205-P205)</f>
        <v/>
      </c>
      <c r="R205" s="36" t="str">
        <f aca="false">IF(H205="","",IF(OR(G205&lt;운용규칙!$B$8,K205&gt;운용규칙!$B$7),"위반","OK"))</f>
        <v/>
      </c>
      <c r="S205" s="28"/>
    </row>
    <row r="206" customFormat="false" ht="15" hidden="false" customHeight="false" outlineLevel="0" collapsed="false">
      <c r="A206" s="28"/>
      <c r="B206" s="29"/>
      <c r="C206" s="30"/>
      <c r="D206" s="28"/>
      <c r="E206" s="28"/>
      <c r="F206" s="28"/>
      <c r="G206" s="31"/>
      <c r="H206" s="32"/>
      <c r="I206" s="33"/>
      <c r="J206" s="33"/>
      <c r="K206" s="34" t="str">
        <f aca="false">IF(H206="","",H206*I206)</f>
        <v/>
      </c>
      <c r="L206" s="34" t="str">
        <f aca="false">IF(H206="","",H206*J206)</f>
        <v/>
      </c>
      <c r="M206" s="35" t="str">
        <f aca="false">IF(H206="","",(L206-K206)/K206*10000)</f>
        <v/>
      </c>
      <c r="N206" s="34" t="str">
        <f aca="false">IF(H206="","",K206*IF(E206="업비트",운용규칙!$B$5,운용규칙!$B$6)+L206*IF(F206="업비트",운용규칙!$B$5,운용규칙!$B$6))</f>
        <v/>
      </c>
      <c r="O206" s="34" t="str">
        <f aca="false">IF(H206="","",L206-K206-N206)</f>
        <v/>
      </c>
      <c r="P206" s="35" t="str">
        <f aca="false">IF(H206="","",O206/K206*10000)</f>
        <v/>
      </c>
      <c r="Q206" s="35" t="str">
        <f aca="false">IF(OR(H206="",G206=""),"",G206-P206)</f>
        <v/>
      </c>
      <c r="R206" s="36" t="str">
        <f aca="false">IF(H206="","",IF(OR(G206&lt;운용규칙!$B$8,K206&gt;운용규칙!$B$7),"위반","OK"))</f>
        <v/>
      </c>
      <c r="S206" s="28"/>
    </row>
    <row r="207" customFormat="false" ht="15" hidden="false" customHeight="false" outlineLevel="0" collapsed="false">
      <c r="A207" s="28"/>
      <c r="B207" s="29"/>
      <c r="C207" s="30"/>
      <c r="D207" s="28"/>
      <c r="E207" s="28"/>
      <c r="F207" s="28"/>
      <c r="G207" s="31"/>
      <c r="H207" s="32"/>
      <c r="I207" s="33"/>
      <c r="J207" s="33"/>
      <c r="K207" s="34" t="str">
        <f aca="false">IF(H207="","",H207*I207)</f>
        <v/>
      </c>
      <c r="L207" s="34" t="str">
        <f aca="false">IF(H207="","",H207*J207)</f>
        <v/>
      </c>
      <c r="M207" s="35" t="str">
        <f aca="false">IF(H207="","",(L207-K207)/K207*10000)</f>
        <v/>
      </c>
      <c r="N207" s="34" t="str">
        <f aca="false">IF(H207="","",K207*IF(E207="업비트",운용규칙!$B$5,운용규칙!$B$6)+L207*IF(F207="업비트",운용규칙!$B$5,운용규칙!$B$6))</f>
        <v/>
      </c>
      <c r="O207" s="34" t="str">
        <f aca="false">IF(H207="","",L207-K207-N207)</f>
        <v/>
      </c>
      <c r="P207" s="35" t="str">
        <f aca="false">IF(H207="","",O207/K207*10000)</f>
        <v/>
      </c>
      <c r="Q207" s="35" t="str">
        <f aca="false">IF(OR(H207="",G207=""),"",G207-P207)</f>
        <v/>
      </c>
      <c r="R207" s="36" t="str">
        <f aca="false">IF(H207="","",IF(OR(G207&lt;운용규칙!$B$8,K207&gt;운용규칙!$B$7),"위반","OK"))</f>
        <v/>
      </c>
      <c r="S207" s="28"/>
    </row>
    <row r="208" customFormat="false" ht="15" hidden="false" customHeight="false" outlineLevel="0" collapsed="false">
      <c r="A208" s="28"/>
      <c r="B208" s="29"/>
      <c r="C208" s="30"/>
      <c r="D208" s="28"/>
      <c r="E208" s="28"/>
      <c r="F208" s="28"/>
      <c r="G208" s="31"/>
      <c r="H208" s="32"/>
      <c r="I208" s="33"/>
      <c r="J208" s="33"/>
      <c r="K208" s="34" t="str">
        <f aca="false">IF(H208="","",H208*I208)</f>
        <v/>
      </c>
      <c r="L208" s="34" t="str">
        <f aca="false">IF(H208="","",H208*J208)</f>
        <v/>
      </c>
      <c r="M208" s="35" t="str">
        <f aca="false">IF(H208="","",(L208-K208)/K208*10000)</f>
        <v/>
      </c>
      <c r="N208" s="34" t="str">
        <f aca="false">IF(H208="","",K208*IF(E208="업비트",운용규칙!$B$5,운용규칙!$B$6)+L208*IF(F208="업비트",운용규칙!$B$5,운용규칙!$B$6))</f>
        <v/>
      </c>
      <c r="O208" s="34" t="str">
        <f aca="false">IF(H208="","",L208-K208-N208)</f>
        <v/>
      </c>
      <c r="P208" s="35" t="str">
        <f aca="false">IF(H208="","",O208/K208*10000)</f>
        <v/>
      </c>
      <c r="Q208" s="35" t="str">
        <f aca="false">IF(OR(H208="",G208=""),"",G208-P208)</f>
        <v/>
      </c>
      <c r="R208" s="36" t="str">
        <f aca="false">IF(H208="","",IF(OR(G208&lt;운용규칙!$B$8,K208&gt;운용규칙!$B$7),"위반","OK"))</f>
        <v/>
      </c>
      <c r="S208" s="28"/>
    </row>
    <row r="209" customFormat="false" ht="15" hidden="false" customHeight="false" outlineLevel="0" collapsed="false">
      <c r="A209" s="28"/>
      <c r="B209" s="29"/>
      <c r="C209" s="30"/>
      <c r="D209" s="28"/>
      <c r="E209" s="28"/>
      <c r="F209" s="28"/>
      <c r="G209" s="31"/>
      <c r="H209" s="32"/>
      <c r="I209" s="33"/>
      <c r="J209" s="33"/>
      <c r="K209" s="34" t="str">
        <f aca="false">IF(H209="","",H209*I209)</f>
        <v/>
      </c>
      <c r="L209" s="34" t="str">
        <f aca="false">IF(H209="","",H209*J209)</f>
        <v/>
      </c>
      <c r="M209" s="35" t="str">
        <f aca="false">IF(H209="","",(L209-K209)/K209*10000)</f>
        <v/>
      </c>
      <c r="N209" s="34" t="str">
        <f aca="false">IF(H209="","",K209*IF(E209="업비트",운용규칙!$B$5,운용규칙!$B$6)+L209*IF(F209="업비트",운용규칙!$B$5,운용규칙!$B$6))</f>
        <v/>
      </c>
      <c r="O209" s="34" t="str">
        <f aca="false">IF(H209="","",L209-K209-N209)</f>
        <v/>
      </c>
      <c r="P209" s="35" t="str">
        <f aca="false">IF(H209="","",O209/K209*10000)</f>
        <v/>
      </c>
      <c r="Q209" s="35" t="str">
        <f aca="false">IF(OR(H209="",G209=""),"",G209-P209)</f>
        <v/>
      </c>
      <c r="R209" s="36" t="str">
        <f aca="false">IF(H209="","",IF(OR(G209&lt;운용규칙!$B$8,K209&gt;운용규칙!$B$7),"위반","OK"))</f>
        <v/>
      </c>
      <c r="S209" s="28"/>
    </row>
    <row r="210" customFormat="false" ht="15" hidden="false" customHeight="false" outlineLevel="0" collapsed="false">
      <c r="A210" s="28"/>
      <c r="B210" s="29"/>
      <c r="C210" s="30"/>
      <c r="D210" s="28"/>
      <c r="E210" s="28"/>
      <c r="F210" s="28"/>
      <c r="G210" s="31"/>
      <c r="H210" s="32"/>
      <c r="I210" s="33"/>
      <c r="J210" s="33"/>
      <c r="K210" s="34" t="str">
        <f aca="false">IF(H210="","",H210*I210)</f>
        <v/>
      </c>
      <c r="L210" s="34" t="str">
        <f aca="false">IF(H210="","",H210*J210)</f>
        <v/>
      </c>
      <c r="M210" s="35" t="str">
        <f aca="false">IF(H210="","",(L210-K210)/K210*10000)</f>
        <v/>
      </c>
      <c r="N210" s="34" t="str">
        <f aca="false">IF(H210="","",K210*IF(E210="업비트",운용규칙!$B$5,운용규칙!$B$6)+L210*IF(F210="업비트",운용규칙!$B$5,운용규칙!$B$6))</f>
        <v/>
      </c>
      <c r="O210" s="34" t="str">
        <f aca="false">IF(H210="","",L210-K210-N210)</f>
        <v/>
      </c>
      <c r="P210" s="35" t="str">
        <f aca="false">IF(H210="","",O210/K210*10000)</f>
        <v/>
      </c>
      <c r="Q210" s="35" t="str">
        <f aca="false">IF(OR(H210="",G210=""),"",G210-P210)</f>
        <v/>
      </c>
      <c r="R210" s="36" t="str">
        <f aca="false">IF(H210="","",IF(OR(G210&lt;운용규칙!$B$8,K210&gt;운용규칙!$B$7),"위반","OK"))</f>
        <v/>
      </c>
      <c r="S210" s="28"/>
    </row>
    <row r="211" customFormat="false" ht="15" hidden="false" customHeight="false" outlineLevel="0" collapsed="false">
      <c r="A211" s="28"/>
      <c r="B211" s="29"/>
      <c r="C211" s="30"/>
      <c r="D211" s="28"/>
      <c r="E211" s="28"/>
      <c r="F211" s="28"/>
      <c r="G211" s="31"/>
      <c r="H211" s="32"/>
      <c r="I211" s="33"/>
      <c r="J211" s="33"/>
      <c r="K211" s="34" t="str">
        <f aca="false">IF(H211="","",H211*I211)</f>
        <v/>
      </c>
      <c r="L211" s="34" t="str">
        <f aca="false">IF(H211="","",H211*J211)</f>
        <v/>
      </c>
      <c r="M211" s="35" t="str">
        <f aca="false">IF(H211="","",(L211-K211)/K211*10000)</f>
        <v/>
      </c>
      <c r="N211" s="34" t="str">
        <f aca="false">IF(H211="","",K211*IF(E211="업비트",운용규칙!$B$5,운용규칙!$B$6)+L211*IF(F211="업비트",운용규칙!$B$5,운용규칙!$B$6))</f>
        <v/>
      </c>
      <c r="O211" s="34" t="str">
        <f aca="false">IF(H211="","",L211-K211-N211)</f>
        <v/>
      </c>
      <c r="P211" s="35" t="str">
        <f aca="false">IF(H211="","",O211/K211*10000)</f>
        <v/>
      </c>
      <c r="Q211" s="35" t="str">
        <f aca="false">IF(OR(H211="",G211=""),"",G211-P211)</f>
        <v/>
      </c>
      <c r="R211" s="36" t="str">
        <f aca="false">IF(H211="","",IF(OR(G211&lt;운용규칙!$B$8,K211&gt;운용규칙!$B$7),"위반","OK"))</f>
        <v/>
      </c>
      <c r="S211" s="28"/>
    </row>
    <row r="212" customFormat="false" ht="15" hidden="false" customHeight="false" outlineLevel="0" collapsed="false">
      <c r="A212" s="28"/>
      <c r="B212" s="29"/>
      <c r="C212" s="30"/>
      <c r="D212" s="28"/>
      <c r="E212" s="28"/>
      <c r="F212" s="28"/>
      <c r="G212" s="31"/>
      <c r="H212" s="32"/>
      <c r="I212" s="33"/>
      <c r="J212" s="33"/>
      <c r="K212" s="34" t="str">
        <f aca="false">IF(H212="","",H212*I212)</f>
        <v/>
      </c>
      <c r="L212" s="34" t="str">
        <f aca="false">IF(H212="","",H212*J212)</f>
        <v/>
      </c>
      <c r="M212" s="35" t="str">
        <f aca="false">IF(H212="","",(L212-K212)/K212*10000)</f>
        <v/>
      </c>
      <c r="N212" s="34" t="str">
        <f aca="false">IF(H212="","",K212*IF(E212="업비트",운용규칙!$B$5,운용규칙!$B$6)+L212*IF(F212="업비트",운용규칙!$B$5,운용규칙!$B$6))</f>
        <v/>
      </c>
      <c r="O212" s="34" t="str">
        <f aca="false">IF(H212="","",L212-K212-N212)</f>
        <v/>
      </c>
      <c r="P212" s="35" t="str">
        <f aca="false">IF(H212="","",O212/K212*10000)</f>
        <v/>
      </c>
      <c r="Q212" s="35" t="str">
        <f aca="false">IF(OR(H212="",G212=""),"",G212-P212)</f>
        <v/>
      </c>
      <c r="R212" s="36" t="str">
        <f aca="false">IF(H212="","",IF(OR(G212&lt;운용규칙!$B$8,K212&gt;운용규칙!$B$7),"위반","OK"))</f>
        <v/>
      </c>
      <c r="S212" s="28"/>
    </row>
    <row r="213" customFormat="false" ht="15" hidden="false" customHeight="false" outlineLevel="0" collapsed="false">
      <c r="A213" s="28"/>
      <c r="B213" s="29"/>
      <c r="C213" s="30"/>
      <c r="D213" s="28"/>
      <c r="E213" s="28"/>
      <c r="F213" s="28"/>
      <c r="G213" s="31"/>
      <c r="H213" s="32"/>
      <c r="I213" s="33"/>
      <c r="J213" s="33"/>
      <c r="K213" s="34" t="str">
        <f aca="false">IF(H213="","",H213*I213)</f>
        <v/>
      </c>
      <c r="L213" s="34" t="str">
        <f aca="false">IF(H213="","",H213*J213)</f>
        <v/>
      </c>
      <c r="M213" s="35" t="str">
        <f aca="false">IF(H213="","",(L213-K213)/K213*10000)</f>
        <v/>
      </c>
      <c r="N213" s="34" t="str">
        <f aca="false">IF(H213="","",K213*IF(E213="업비트",운용규칙!$B$5,운용규칙!$B$6)+L213*IF(F213="업비트",운용규칙!$B$5,운용규칙!$B$6))</f>
        <v/>
      </c>
      <c r="O213" s="34" t="str">
        <f aca="false">IF(H213="","",L213-K213-N213)</f>
        <v/>
      </c>
      <c r="P213" s="35" t="str">
        <f aca="false">IF(H213="","",O213/K213*10000)</f>
        <v/>
      </c>
      <c r="Q213" s="35" t="str">
        <f aca="false">IF(OR(H213="",G213=""),"",G213-P213)</f>
        <v/>
      </c>
      <c r="R213" s="36" t="str">
        <f aca="false">IF(H213="","",IF(OR(G213&lt;운용규칙!$B$8,K213&gt;운용규칙!$B$7),"위반","OK"))</f>
        <v/>
      </c>
      <c r="S213" s="28"/>
    </row>
    <row r="214" customFormat="false" ht="15" hidden="false" customHeight="false" outlineLevel="0" collapsed="false">
      <c r="A214" s="28"/>
      <c r="B214" s="29"/>
      <c r="C214" s="30"/>
      <c r="D214" s="28"/>
      <c r="E214" s="28"/>
      <c r="F214" s="28"/>
      <c r="G214" s="31"/>
      <c r="H214" s="32"/>
      <c r="I214" s="33"/>
      <c r="J214" s="33"/>
      <c r="K214" s="34" t="str">
        <f aca="false">IF(H214="","",H214*I214)</f>
        <v/>
      </c>
      <c r="L214" s="34" t="str">
        <f aca="false">IF(H214="","",H214*J214)</f>
        <v/>
      </c>
      <c r="M214" s="35" t="str">
        <f aca="false">IF(H214="","",(L214-K214)/K214*10000)</f>
        <v/>
      </c>
      <c r="N214" s="34" t="str">
        <f aca="false">IF(H214="","",K214*IF(E214="업비트",운용규칙!$B$5,운용규칙!$B$6)+L214*IF(F214="업비트",운용규칙!$B$5,운용규칙!$B$6))</f>
        <v/>
      </c>
      <c r="O214" s="34" t="str">
        <f aca="false">IF(H214="","",L214-K214-N214)</f>
        <v/>
      </c>
      <c r="P214" s="35" t="str">
        <f aca="false">IF(H214="","",O214/K214*10000)</f>
        <v/>
      </c>
      <c r="Q214" s="35" t="str">
        <f aca="false">IF(OR(H214="",G214=""),"",G214-P214)</f>
        <v/>
      </c>
      <c r="R214" s="36" t="str">
        <f aca="false">IF(H214="","",IF(OR(G214&lt;운용규칙!$B$8,K214&gt;운용규칙!$B$7),"위반","OK"))</f>
        <v/>
      </c>
      <c r="S214" s="28"/>
    </row>
    <row r="215" customFormat="false" ht="15" hidden="false" customHeight="false" outlineLevel="0" collapsed="false">
      <c r="A215" s="28"/>
      <c r="B215" s="29"/>
      <c r="C215" s="30"/>
      <c r="D215" s="28"/>
      <c r="E215" s="28"/>
      <c r="F215" s="28"/>
      <c r="G215" s="31"/>
      <c r="H215" s="32"/>
      <c r="I215" s="33"/>
      <c r="J215" s="33"/>
      <c r="K215" s="34" t="str">
        <f aca="false">IF(H215="","",H215*I215)</f>
        <v/>
      </c>
      <c r="L215" s="34" t="str">
        <f aca="false">IF(H215="","",H215*J215)</f>
        <v/>
      </c>
      <c r="M215" s="35" t="str">
        <f aca="false">IF(H215="","",(L215-K215)/K215*10000)</f>
        <v/>
      </c>
      <c r="N215" s="34" t="str">
        <f aca="false">IF(H215="","",K215*IF(E215="업비트",운용규칙!$B$5,운용규칙!$B$6)+L215*IF(F215="업비트",운용규칙!$B$5,운용규칙!$B$6))</f>
        <v/>
      </c>
      <c r="O215" s="34" t="str">
        <f aca="false">IF(H215="","",L215-K215-N215)</f>
        <v/>
      </c>
      <c r="P215" s="35" t="str">
        <f aca="false">IF(H215="","",O215/K215*10000)</f>
        <v/>
      </c>
      <c r="Q215" s="35" t="str">
        <f aca="false">IF(OR(H215="",G215=""),"",G215-P215)</f>
        <v/>
      </c>
      <c r="R215" s="36" t="str">
        <f aca="false">IF(H215="","",IF(OR(G215&lt;운용규칙!$B$8,K215&gt;운용규칙!$B$7),"위반","OK"))</f>
        <v/>
      </c>
      <c r="S215" s="28"/>
    </row>
    <row r="216" customFormat="false" ht="15" hidden="false" customHeight="false" outlineLevel="0" collapsed="false">
      <c r="A216" s="28"/>
      <c r="B216" s="29"/>
      <c r="C216" s="30"/>
      <c r="D216" s="28"/>
      <c r="E216" s="28"/>
      <c r="F216" s="28"/>
      <c r="G216" s="31"/>
      <c r="H216" s="32"/>
      <c r="I216" s="33"/>
      <c r="J216" s="33"/>
      <c r="K216" s="34" t="str">
        <f aca="false">IF(H216="","",H216*I216)</f>
        <v/>
      </c>
      <c r="L216" s="34" t="str">
        <f aca="false">IF(H216="","",H216*J216)</f>
        <v/>
      </c>
      <c r="M216" s="35" t="str">
        <f aca="false">IF(H216="","",(L216-K216)/K216*10000)</f>
        <v/>
      </c>
      <c r="N216" s="34" t="str">
        <f aca="false">IF(H216="","",K216*IF(E216="업비트",운용규칙!$B$5,운용규칙!$B$6)+L216*IF(F216="업비트",운용규칙!$B$5,운용규칙!$B$6))</f>
        <v/>
      </c>
      <c r="O216" s="34" t="str">
        <f aca="false">IF(H216="","",L216-K216-N216)</f>
        <v/>
      </c>
      <c r="P216" s="35" t="str">
        <f aca="false">IF(H216="","",O216/K216*10000)</f>
        <v/>
      </c>
      <c r="Q216" s="35" t="str">
        <f aca="false">IF(OR(H216="",G216=""),"",G216-P216)</f>
        <v/>
      </c>
      <c r="R216" s="36" t="str">
        <f aca="false">IF(H216="","",IF(OR(G216&lt;운용규칙!$B$8,K216&gt;운용규칙!$B$7),"위반","OK"))</f>
        <v/>
      </c>
      <c r="S216" s="28"/>
    </row>
    <row r="217" customFormat="false" ht="15" hidden="false" customHeight="false" outlineLevel="0" collapsed="false">
      <c r="A217" s="28"/>
      <c r="B217" s="29"/>
      <c r="C217" s="30"/>
      <c r="D217" s="28"/>
      <c r="E217" s="28"/>
      <c r="F217" s="28"/>
      <c r="G217" s="31"/>
      <c r="H217" s="32"/>
      <c r="I217" s="33"/>
      <c r="J217" s="33"/>
      <c r="K217" s="34" t="str">
        <f aca="false">IF(H217="","",H217*I217)</f>
        <v/>
      </c>
      <c r="L217" s="34" t="str">
        <f aca="false">IF(H217="","",H217*J217)</f>
        <v/>
      </c>
      <c r="M217" s="35" t="str">
        <f aca="false">IF(H217="","",(L217-K217)/K217*10000)</f>
        <v/>
      </c>
      <c r="N217" s="34" t="str">
        <f aca="false">IF(H217="","",K217*IF(E217="업비트",운용규칙!$B$5,운용규칙!$B$6)+L217*IF(F217="업비트",운용규칙!$B$5,운용규칙!$B$6))</f>
        <v/>
      </c>
      <c r="O217" s="34" t="str">
        <f aca="false">IF(H217="","",L217-K217-N217)</f>
        <v/>
      </c>
      <c r="P217" s="35" t="str">
        <f aca="false">IF(H217="","",O217/K217*10000)</f>
        <v/>
      </c>
      <c r="Q217" s="35" t="str">
        <f aca="false">IF(OR(H217="",G217=""),"",G217-P217)</f>
        <v/>
      </c>
      <c r="R217" s="36" t="str">
        <f aca="false">IF(H217="","",IF(OR(G217&lt;운용규칙!$B$8,K217&gt;운용규칙!$B$7),"위반","OK"))</f>
        <v/>
      </c>
      <c r="S217" s="28"/>
    </row>
    <row r="218" customFormat="false" ht="15" hidden="false" customHeight="false" outlineLevel="0" collapsed="false">
      <c r="A218" s="28"/>
      <c r="B218" s="29"/>
      <c r="C218" s="30"/>
      <c r="D218" s="28"/>
      <c r="E218" s="28"/>
      <c r="F218" s="28"/>
      <c r="G218" s="31"/>
      <c r="H218" s="32"/>
      <c r="I218" s="33"/>
      <c r="J218" s="33"/>
      <c r="K218" s="34" t="str">
        <f aca="false">IF(H218="","",H218*I218)</f>
        <v/>
      </c>
      <c r="L218" s="34" t="str">
        <f aca="false">IF(H218="","",H218*J218)</f>
        <v/>
      </c>
      <c r="M218" s="35" t="str">
        <f aca="false">IF(H218="","",(L218-K218)/K218*10000)</f>
        <v/>
      </c>
      <c r="N218" s="34" t="str">
        <f aca="false">IF(H218="","",K218*IF(E218="업비트",운용규칙!$B$5,운용규칙!$B$6)+L218*IF(F218="업비트",운용규칙!$B$5,운용규칙!$B$6))</f>
        <v/>
      </c>
      <c r="O218" s="34" t="str">
        <f aca="false">IF(H218="","",L218-K218-N218)</f>
        <v/>
      </c>
      <c r="P218" s="35" t="str">
        <f aca="false">IF(H218="","",O218/K218*10000)</f>
        <v/>
      </c>
      <c r="Q218" s="35" t="str">
        <f aca="false">IF(OR(H218="",G218=""),"",G218-P218)</f>
        <v/>
      </c>
      <c r="R218" s="36" t="str">
        <f aca="false">IF(H218="","",IF(OR(G218&lt;운용규칙!$B$8,K218&gt;운용규칙!$B$7),"위반","OK"))</f>
        <v/>
      </c>
      <c r="S218" s="28"/>
    </row>
    <row r="219" customFormat="false" ht="15" hidden="false" customHeight="false" outlineLevel="0" collapsed="false">
      <c r="A219" s="28"/>
      <c r="B219" s="29"/>
      <c r="C219" s="30"/>
      <c r="D219" s="28"/>
      <c r="E219" s="28"/>
      <c r="F219" s="28"/>
      <c r="G219" s="31"/>
      <c r="H219" s="32"/>
      <c r="I219" s="33"/>
      <c r="J219" s="33"/>
      <c r="K219" s="34" t="str">
        <f aca="false">IF(H219="","",H219*I219)</f>
        <v/>
      </c>
      <c r="L219" s="34" t="str">
        <f aca="false">IF(H219="","",H219*J219)</f>
        <v/>
      </c>
      <c r="M219" s="35" t="str">
        <f aca="false">IF(H219="","",(L219-K219)/K219*10000)</f>
        <v/>
      </c>
      <c r="N219" s="34" t="str">
        <f aca="false">IF(H219="","",K219*IF(E219="업비트",운용규칙!$B$5,운용규칙!$B$6)+L219*IF(F219="업비트",운용규칙!$B$5,운용규칙!$B$6))</f>
        <v/>
      </c>
      <c r="O219" s="34" t="str">
        <f aca="false">IF(H219="","",L219-K219-N219)</f>
        <v/>
      </c>
      <c r="P219" s="35" t="str">
        <f aca="false">IF(H219="","",O219/K219*10000)</f>
        <v/>
      </c>
      <c r="Q219" s="35" t="str">
        <f aca="false">IF(OR(H219="",G219=""),"",G219-P219)</f>
        <v/>
      </c>
      <c r="R219" s="36" t="str">
        <f aca="false">IF(H219="","",IF(OR(G219&lt;운용규칙!$B$8,K219&gt;운용규칙!$B$7),"위반","OK"))</f>
        <v/>
      </c>
      <c r="S219" s="28"/>
    </row>
    <row r="220" customFormat="false" ht="15" hidden="false" customHeight="false" outlineLevel="0" collapsed="false">
      <c r="A220" s="28"/>
      <c r="B220" s="29"/>
      <c r="C220" s="30"/>
      <c r="D220" s="28"/>
      <c r="E220" s="28"/>
      <c r="F220" s="28"/>
      <c r="G220" s="31"/>
      <c r="H220" s="32"/>
      <c r="I220" s="33"/>
      <c r="J220" s="33"/>
      <c r="K220" s="34" t="str">
        <f aca="false">IF(H220="","",H220*I220)</f>
        <v/>
      </c>
      <c r="L220" s="34" t="str">
        <f aca="false">IF(H220="","",H220*J220)</f>
        <v/>
      </c>
      <c r="M220" s="35" t="str">
        <f aca="false">IF(H220="","",(L220-K220)/K220*10000)</f>
        <v/>
      </c>
      <c r="N220" s="34" t="str">
        <f aca="false">IF(H220="","",K220*IF(E220="업비트",운용규칙!$B$5,운용규칙!$B$6)+L220*IF(F220="업비트",운용규칙!$B$5,운용규칙!$B$6))</f>
        <v/>
      </c>
      <c r="O220" s="34" t="str">
        <f aca="false">IF(H220="","",L220-K220-N220)</f>
        <v/>
      </c>
      <c r="P220" s="35" t="str">
        <f aca="false">IF(H220="","",O220/K220*10000)</f>
        <v/>
      </c>
      <c r="Q220" s="35" t="str">
        <f aca="false">IF(OR(H220="",G220=""),"",G220-P220)</f>
        <v/>
      </c>
      <c r="R220" s="36" t="str">
        <f aca="false">IF(H220="","",IF(OR(G220&lt;운용규칙!$B$8,K220&gt;운용규칙!$B$7),"위반","OK"))</f>
        <v/>
      </c>
      <c r="S220" s="28"/>
    </row>
    <row r="221" customFormat="false" ht="15" hidden="false" customHeight="false" outlineLevel="0" collapsed="false">
      <c r="A221" s="28"/>
      <c r="B221" s="29"/>
      <c r="C221" s="30"/>
      <c r="D221" s="28"/>
      <c r="E221" s="28"/>
      <c r="F221" s="28"/>
      <c r="G221" s="31"/>
      <c r="H221" s="32"/>
      <c r="I221" s="33"/>
      <c r="J221" s="33"/>
      <c r="K221" s="34" t="str">
        <f aca="false">IF(H221="","",H221*I221)</f>
        <v/>
      </c>
      <c r="L221" s="34" t="str">
        <f aca="false">IF(H221="","",H221*J221)</f>
        <v/>
      </c>
      <c r="M221" s="35" t="str">
        <f aca="false">IF(H221="","",(L221-K221)/K221*10000)</f>
        <v/>
      </c>
      <c r="N221" s="34" t="str">
        <f aca="false">IF(H221="","",K221*IF(E221="업비트",운용규칙!$B$5,운용규칙!$B$6)+L221*IF(F221="업비트",운용규칙!$B$5,운용규칙!$B$6))</f>
        <v/>
      </c>
      <c r="O221" s="34" t="str">
        <f aca="false">IF(H221="","",L221-K221-N221)</f>
        <v/>
      </c>
      <c r="P221" s="35" t="str">
        <f aca="false">IF(H221="","",O221/K221*10000)</f>
        <v/>
      </c>
      <c r="Q221" s="35" t="str">
        <f aca="false">IF(OR(H221="",G221=""),"",G221-P221)</f>
        <v/>
      </c>
      <c r="R221" s="36" t="str">
        <f aca="false">IF(H221="","",IF(OR(G221&lt;운용규칙!$B$8,K221&gt;운용규칙!$B$7),"위반","OK"))</f>
        <v/>
      </c>
      <c r="S221" s="28"/>
    </row>
    <row r="222" customFormat="false" ht="15" hidden="false" customHeight="false" outlineLevel="0" collapsed="false">
      <c r="A222" s="28"/>
      <c r="B222" s="29"/>
      <c r="C222" s="30"/>
      <c r="D222" s="28"/>
      <c r="E222" s="28"/>
      <c r="F222" s="28"/>
      <c r="G222" s="31"/>
      <c r="H222" s="32"/>
      <c r="I222" s="33"/>
      <c r="J222" s="33"/>
      <c r="K222" s="34" t="str">
        <f aca="false">IF(H222="","",H222*I222)</f>
        <v/>
      </c>
      <c r="L222" s="34" t="str">
        <f aca="false">IF(H222="","",H222*J222)</f>
        <v/>
      </c>
      <c r="M222" s="35" t="str">
        <f aca="false">IF(H222="","",(L222-K222)/K222*10000)</f>
        <v/>
      </c>
      <c r="N222" s="34" t="str">
        <f aca="false">IF(H222="","",K222*IF(E222="업비트",운용규칙!$B$5,운용규칙!$B$6)+L222*IF(F222="업비트",운용규칙!$B$5,운용규칙!$B$6))</f>
        <v/>
      </c>
      <c r="O222" s="34" t="str">
        <f aca="false">IF(H222="","",L222-K222-N222)</f>
        <v/>
      </c>
      <c r="P222" s="35" t="str">
        <f aca="false">IF(H222="","",O222/K222*10000)</f>
        <v/>
      </c>
      <c r="Q222" s="35" t="str">
        <f aca="false">IF(OR(H222="",G222=""),"",G222-P222)</f>
        <v/>
      </c>
      <c r="R222" s="36" t="str">
        <f aca="false">IF(H222="","",IF(OR(G222&lt;운용규칙!$B$8,K222&gt;운용규칙!$B$7),"위반","OK"))</f>
        <v/>
      </c>
      <c r="S222" s="28"/>
    </row>
    <row r="223" customFormat="false" ht="15" hidden="false" customHeight="false" outlineLevel="0" collapsed="false">
      <c r="A223" s="28"/>
      <c r="B223" s="29"/>
      <c r="C223" s="30"/>
      <c r="D223" s="28"/>
      <c r="E223" s="28"/>
      <c r="F223" s="28"/>
      <c r="G223" s="31"/>
      <c r="H223" s="32"/>
      <c r="I223" s="33"/>
      <c r="J223" s="33"/>
      <c r="K223" s="34" t="str">
        <f aca="false">IF(H223="","",H223*I223)</f>
        <v/>
      </c>
      <c r="L223" s="34" t="str">
        <f aca="false">IF(H223="","",H223*J223)</f>
        <v/>
      </c>
      <c r="M223" s="35" t="str">
        <f aca="false">IF(H223="","",(L223-K223)/K223*10000)</f>
        <v/>
      </c>
      <c r="N223" s="34" t="str">
        <f aca="false">IF(H223="","",K223*IF(E223="업비트",운용규칙!$B$5,운용규칙!$B$6)+L223*IF(F223="업비트",운용규칙!$B$5,운용규칙!$B$6))</f>
        <v/>
      </c>
      <c r="O223" s="34" t="str">
        <f aca="false">IF(H223="","",L223-K223-N223)</f>
        <v/>
      </c>
      <c r="P223" s="35" t="str">
        <f aca="false">IF(H223="","",O223/K223*10000)</f>
        <v/>
      </c>
      <c r="Q223" s="35" t="str">
        <f aca="false">IF(OR(H223="",G223=""),"",G223-P223)</f>
        <v/>
      </c>
      <c r="R223" s="36" t="str">
        <f aca="false">IF(H223="","",IF(OR(G223&lt;운용규칙!$B$8,K223&gt;운용규칙!$B$7),"위반","OK"))</f>
        <v/>
      </c>
      <c r="S223" s="28"/>
    </row>
    <row r="224" customFormat="false" ht="15" hidden="false" customHeight="false" outlineLevel="0" collapsed="false">
      <c r="A224" s="28"/>
      <c r="B224" s="29"/>
      <c r="C224" s="30"/>
      <c r="D224" s="28"/>
      <c r="E224" s="28"/>
      <c r="F224" s="28"/>
      <c r="G224" s="31"/>
      <c r="H224" s="32"/>
      <c r="I224" s="33"/>
      <c r="J224" s="33"/>
      <c r="K224" s="34" t="str">
        <f aca="false">IF(H224="","",H224*I224)</f>
        <v/>
      </c>
      <c r="L224" s="34" t="str">
        <f aca="false">IF(H224="","",H224*J224)</f>
        <v/>
      </c>
      <c r="M224" s="35" t="str">
        <f aca="false">IF(H224="","",(L224-K224)/K224*10000)</f>
        <v/>
      </c>
      <c r="N224" s="34" t="str">
        <f aca="false">IF(H224="","",K224*IF(E224="업비트",운용규칙!$B$5,운용규칙!$B$6)+L224*IF(F224="업비트",운용규칙!$B$5,운용규칙!$B$6))</f>
        <v/>
      </c>
      <c r="O224" s="34" t="str">
        <f aca="false">IF(H224="","",L224-K224-N224)</f>
        <v/>
      </c>
      <c r="P224" s="35" t="str">
        <f aca="false">IF(H224="","",O224/K224*10000)</f>
        <v/>
      </c>
      <c r="Q224" s="35" t="str">
        <f aca="false">IF(OR(H224="",G224=""),"",G224-P224)</f>
        <v/>
      </c>
      <c r="R224" s="36" t="str">
        <f aca="false">IF(H224="","",IF(OR(G224&lt;운용규칙!$B$8,K224&gt;운용규칙!$B$7),"위반","OK"))</f>
        <v/>
      </c>
      <c r="S224" s="28"/>
    </row>
    <row r="225" customFormat="false" ht="15" hidden="false" customHeight="false" outlineLevel="0" collapsed="false">
      <c r="A225" s="28"/>
      <c r="B225" s="29"/>
      <c r="C225" s="30"/>
      <c r="D225" s="28"/>
      <c r="E225" s="28"/>
      <c r="F225" s="28"/>
      <c r="G225" s="31"/>
      <c r="H225" s="32"/>
      <c r="I225" s="33"/>
      <c r="J225" s="33"/>
      <c r="K225" s="34" t="str">
        <f aca="false">IF(H225="","",H225*I225)</f>
        <v/>
      </c>
      <c r="L225" s="34" t="str">
        <f aca="false">IF(H225="","",H225*J225)</f>
        <v/>
      </c>
      <c r="M225" s="35" t="str">
        <f aca="false">IF(H225="","",(L225-K225)/K225*10000)</f>
        <v/>
      </c>
      <c r="N225" s="34" t="str">
        <f aca="false">IF(H225="","",K225*IF(E225="업비트",운용규칙!$B$5,운용규칙!$B$6)+L225*IF(F225="업비트",운용규칙!$B$5,운용규칙!$B$6))</f>
        <v/>
      </c>
      <c r="O225" s="34" t="str">
        <f aca="false">IF(H225="","",L225-K225-N225)</f>
        <v/>
      </c>
      <c r="P225" s="35" t="str">
        <f aca="false">IF(H225="","",O225/K225*10000)</f>
        <v/>
      </c>
      <c r="Q225" s="35" t="str">
        <f aca="false">IF(OR(H225="",G225=""),"",G225-P225)</f>
        <v/>
      </c>
      <c r="R225" s="36" t="str">
        <f aca="false">IF(H225="","",IF(OR(G225&lt;운용규칙!$B$8,K225&gt;운용규칙!$B$7),"위반","OK"))</f>
        <v/>
      </c>
      <c r="S225" s="28"/>
    </row>
    <row r="226" customFormat="false" ht="15" hidden="false" customHeight="false" outlineLevel="0" collapsed="false">
      <c r="A226" s="28"/>
      <c r="B226" s="29"/>
      <c r="C226" s="30"/>
      <c r="D226" s="28"/>
      <c r="E226" s="28"/>
      <c r="F226" s="28"/>
      <c r="G226" s="31"/>
      <c r="H226" s="32"/>
      <c r="I226" s="33"/>
      <c r="J226" s="33"/>
      <c r="K226" s="34" t="str">
        <f aca="false">IF(H226="","",H226*I226)</f>
        <v/>
      </c>
      <c r="L226" s="34" t="str">
        <f aca="false">IF(H226="","",H226*J226)</f>
        <v/>
      </c>
      <c r="M226" s="35" t="str">
        <f aca="false">IF(H226="","",(L226-K226)/K226*10000)</f>
        <v/>
      </c>
      <c r="N226" s="34" t="str">
        <f aca="false">IF(H226="","",K226*IF(E226="업비트",운용규칙!$B$5,운용규칙!$B$6)+L226*IF(F226="업비트",운용규칙!$B$5,운용규칙!$B$6))</f>
        <v/>
      </c>
      <c r="O226" s="34" t="str">
        <f aca="false">IF(H226="","",L226-K226-N226)</f>
        <v/>
      </c>
      <c r="P226" s="35" t="str">
        <f aca="false">IF(H226="","",O226/K226*10000)</f>
        <v/>
      </c>
      <c r="Q226" s="35" t="str">
        <f aca="false">IF(OR(H226="",G226=""),"",G226-P226)</f>
        <v/>
      </c>
      <c r="R226" s="36" t="str">
        <f aca="false">IF(H226="","",IF(OR(G226&lt;운용규칙!$B$8,K226&gt;운용규칙!$B$7),"위반","OK"))</f>
        <v/>
      </c>
      <c r="S226" s="28"/>
    </row>
    <row r="227" customFormat="false" ht="15" hidden="false" customHeight="false" outlineLevel="0" collapsed="false">
      <c r="A227" s="28"/>
      <c r="B227" s="29"/>
      <c r="C227" s="30"/>
      <c r="D227" s="28"/>
      <c r="E227" s="28"/>
      <c r="F227" s="28"/>
      <c r="G227" s="31"/>
      <c r="H227" s="32"/>
      <c r="I227" s="33"/>
      <c r="J227" s="33"/>
      <c r="K227" s="34" t="str">
        <f aca="false">IF(H227="","",H227*I227)</f>
        <v/>
      </c>
      <c r="L227" s="34" t="str">
        <f aca="false">IF(H227="","",H227*J227)</f>
        <v/>
      </c>
      <c r="M227" s="35" t="str">
        <f aca="false">IF(H227="","",(L227-K227)/K227*10000)</f>
        <v/>
      </c>
      <c r="N227" s="34" t="str">
        <f aca="false">IF(H227="","",K227*IF(E227="업비트",운용규칙!$B$5,운용규칙!$B$6)+L227*IF(F227="업비트",운용규칙!$B$5,운용규칙!$B$6))</f>
        <v/>
      </c>
      <c r="O227" s="34" t="str">
        <f aca="false">IF(H227="","",L227-K227-N227)</f>
        <v/>
      </c>
      <c r="P227" s="35" t="str">
        <f aca="false">IF(H227="","",O227/K227*10000)</f>
        <v/>
      </c>
      <c r="Q227" s="35" t="str">
        <f aca="false">IF(OR(H227="",G227=""),"",G227-P227)</f>
        <v/>
      </c>
      <c r="R227" s="36" t="str">
        <f aca="false">IF(H227="","",IF(OR(G227&lt;운용규칙!$B$8,K227&gt;운용규칙!$B$7),"위반","OK"))</f>
        <v/>
      </c>
      <c r="S227" s="28"/>
    </row>
    <row r="228" customFormat="false" ht="15" hidden="false" customHeight="false" outlineLevel="0" collapsed="false">
      <c r="A228" s="28"/>
      <c r="B228" s="29"/>
      <c r="C228" s="30"/>
      <c r="D228" s="28"/>
      <c r="E228" s="28"/>
      <c r="F228" s="28"/>
      <c r="G228" s="31"/>
      <c r="H228" s="32"/>
      <c r="I228" s="33"/>
      <c r="J228" s="33"/>
      <c r="K228" s="34" t="str">
        <f aca="false">IF(H228="","",H228*I228)</f>
        <v/>
      </c>
      <c r="L228" s="34" t="str">
        <f aca="false">IF(H228="","",H228*J228)</f>
        <v/>
      </c>
      <c r="M228" s="35" t="str">
        <f aca="false">IF(H228="","",(L228-K228)/K228*10000)</f>
        <v/>
      </c>
      <c r="N228" s="34" t="str">
        <f aca="false">IF(H228="","",K228*IF(E228="업비트",운용규칙!$B$5,운용규칙!$B$6)+L228*IF(F228="업비트",운용규칙!$B$5,운용규칙!$B$6))</f>
        <v/>
      </c>
      <c r="O228" s="34" t="str">
        <f aca="false">IF(H228="","",L228-K228-N228)</f>
        <v/>
      </c>
      <c r="P228" s="35" t="str">
        <f aca="false">IF(H228="","",O228/K228*10000)</f>
        <v/>
      </c>
      <c r="Q228" s="35" t="str">
        <f aca="false">IF(OR(H228="",G228=""),"",G228-P228)</f>
        <v/>
      </c>
      <c r="R228" s="36" t="str">
        <f aca="false">IF(H228="","",IF(OR(G228&lt;운용규칙!$B$8,K228&gt;운용규칙!$B$7),"위반","OK"))</f>
        <v/>
      </c>
      <c r="S228" s="28"/>
    </row>
    <row r="229" customFormat="false" ht="15" hidden="false" customHeight="false" outlineLevel="0" collapsed="false">
      <c r="A229" s="28"/>
      <c r="B229" s="29"/>
      <c r="C229" s="30"/>
      <c r="D229" s="28"/>
      <c r="E229" s="28"/>
      <c r="F229" s="28"/>
      <c r="G229" s="31"/>
      <c r="H229" s="32"/>
      <c r="I229" s="33"/>
      <c r="J229" s="33"/>
      <c r="K229" s="34" t="str">
        <f aca="false">IF(H229="","",H229*I229)</f>
        <v/>
      </c>
      <c r="L229" s="34" t="str">
        <f aca="false">IF(H229="","",H229*J229)</f>
        <v/>
      </c>
      <c r="M229" s="35" t="str">
        <f aca="false">IF(H229="","",(L229-K229)/K229*10000)</f>
        <v/>
      </c>
      <c r="N229" s="34" t="str">
        <f aca="false">IF(H229="","",K229*IF(E229="업비트",운용규칙!$B$5,운용규칙!$B$6)+L229*IF(F229="업비트",운용규칙!$B$5,운용규칙!$B$6))</f>
        <v/>
      </c>
      <c r="O229" s="34" t="str">
        <f aca="false">IF(H229="","",L229-K229-N229)</f>
        <v/>
      </c>
      <c r="P229" s="35" t="str">
        <f aca="false">IF(H229="","",O229/K229*10000)</f>
        <v/>
      </c>
      <c r="Q229" s="35" t="str">
        <f aca="false">IF(OR(H229="",G229=""),"",G229-P229)</f>
        <v/>
      </c>
      <c r="R229" s="36" t="str">
        <f aca="false">IF(H229="","",IF(OR(G229&lt;운용규칙!$B$8,K229&gt;운용규칙!$B$7),"위반","OK"))</f>
        <v/>
      </c>
      <c r="S229" s="28"/>
    </row>
    <row r="230" customFormat="false" ht="15" hidden="false" customHeight="false" outlineLevel="0" collapsed="false">
      <c r="A230" s="28"/>
      <c r="B230" s="29"/>
      <c r="C230" s="30"/>
      <c r="D230" s="28"/>
      <c r="E230" s="28"/>
      <c r="F230" s="28"/>
      <c r="G230" s="31"/>
      <c r="H230" s="32"/>
      <c r="I230" s="33"/>
      <c r="J230" s="33"/>
      <c r="K230" s="34" t="str">
        <f aca="false">IF(H230="","",H230*I230)</f>
        <v/>
      </c>
      <c r="L230" s="34" t="str">
        <f aca="false">IF(H230="","",H230*J230)</f>
        <v/>
      </c>
      <c r="M230" s="35" t="str">
        <f aca="false">IF(H230="","",(L230-K230)/K230*10000)</f>
        <v/>
      </c>
      <c r="N230" s="34" t="str">
        <f aca="false">IF(H230="","",K230*IF(E230="업비트",운용규칙!$B$5,운용규칙!$B$6)+L230*IF(F230="업비트",운용규칙!$B$5,운용규칙!$B$6))</f>
        <v/>
      </c>
      <c r="O230" s="34" t="str">
        <f aca="false">IF(H230="","",L230-K230-N230)</f>
        <v/>
      </c>
      <c r="P230" s="35" t="str">
        <f aca="false">IF(H230="","",O230/K230*10000)</f>
        <v/>
      </c>
      <c r="Q230" s="35" t="str">
        <f aca="false">IF(OR(H230="",G230=""),"",G230-P230)</f>
        <v/>
      </c>
      <c r="R230" s="36" t="str">
        <f aca="false">IF(H230="","",IF(OR(G230&lt;운용규칙!$B$8,K230&gt;운용규칙!$B$7),"위반","OK"))</f>
        <v/>
      </c>
      <c r="S230" s="28"/>
    </row>
    <row r="231" customFormat="false" ht="15" hidden="false" customHeight="false" outlineLevel="0" collapsed="false">
      <c r="A231" s="28"/>
      <c r="B231" s="29"/>
      <c r="C231" s="30"/>
      <c r="D231" s="28"/>
      <c r="E231" s="28"/>
      <c r="F231" s="28"/>
      <c r="G231" s="31"/>
      <c r="H231" s="32"/>
      <c r="I231" s="33"/>
      <c r="J231" s="33"/>
      <c r="K231" s="34" t="str">
        <f aca="false">IF(H231="","",H231*I231)</f>
        <v/>
      </c>
      <c r="L231" s="34" t="str">
        <f aca="false">IF(H231="","",H231*J231)</f>
        <v/>
      </c>
      <c r="M231" s="35" t="str">
        <f aca="false">IF(H231="","",(L231-K231)/K231*10000)</f>
        <v/>
      </c>
      <c r="N231" s="34" t="str">
        <f aca="false">IF(H231="","",K231*IF(E231="업비트",운용규칙!$B$5,운용규칙!$B$6)+L231*IF(F231="업비트",운용규칙!$B$5,운용규칙!$B$6))</f>
        <v/>
      </c>
      <c r="O231" s="34" t="str">
        <f aca="false">IF(H231="","",L231-K231-N231)</f>
        <v/>
      </c>
      <c r="P231" s="35" t="str">
        <f aca="false">IF(H231="","",O231/K231*10000)</f>
        <v/>
      </c>
      <c r="Q231" s="35" t="str">
        <f aca="false">IF(OR(H231="",G231=""),"",G231-P231)</f>
        <v/>
      </c>
      <c r="R231" s="36" t="str">
        <f aca="false">IF(H231="","",IF(OR(G231&lt;운용규칙!$B$8,K231&gt;운용규칙!$B$7),"위반","OK"))</f>
        <v/>
      </c>
      <c r="S231" s="28"/>
    </row>
    <row r="232" customFormat="false" ht="15" hidden="false" customHeight="false" outlineLevel="0" collapsed="false">
      <c r="A232" s="28"/>
      <c r="B232" s="29"/>
      <c r="C232" s="30"/>
      <c r="D232" s="28"/>
      <c r="E232" s="28"/>
      <c r="F232" s="28"/>
      <c r="G232" s="31"/>
      <c r="H232" s="32"/>
      <c r="I232" s="33"/>
      <c r="J232" s="33"/>
      <c r="K232" s="34" t="str">
        <f aca="false">IF(H232="","",H232*I232)</f>
        <v/>
      </c>
      <c r="L232" s="34" t="str">
        <f aca="false">IF(H232="","",H232*J232)</f>
        <v/>
      </c>
      <c r="M232" s="35" t="str">
        <f aca="false">IF(H232="","",(L232-K232)/K232*10000)</f>
        <v/>
      </c>
      <c r="N232" s="34" t="str">
        <f aca="false">IF(H232="","",K232*IF(E232="업비트",운용규칙!$B$5,운용규칙!$B$6)+L232*IF(F232="업비트",운용규칙!$B$5,운용규칙!$B$6))</f>
        <v/>
      </c>
      <c r="O232" s="34" t="str">
        <f aca="false">IF(H232="","",L232-K232-N232)</f>
        <v/>
      </c>
      <c r="P232" s="35" t="str">
        <f aca="false">IF(H232="","",O232/K232*10000)</f>
        <v/>
      </c>
      <c r="Q232" s="35" t="str">
        <f aca="false">IF(OR(H232="",G232=""),"",G232-P232)</f>
        <v/>
      </c>
      <c r="R232" s="36" t="str">
        <f aca="false">IF(H232="","",IF(OR(G232&lt;운용규칙!$B$8,K232&gt;운용규칙!$B$7),"위반","OK"))</f>
        <v/>
      </c>
      <c r="S232" s="28"/>
    </row>
    <row r="233" customFormat="false" ht="15" hidden="false" customHeight="false" outlineLevel="0" collapsed="false">
      <c r="A233" s="28"/>
      <c r="B233" s="29"/>
      <c r="C233" s="30"/>
      <c r="D233" s="28"/>
      <c r="E233" s="28"/>
      <c r="F233" s="28"/>
      <c r="G233" s="31"/>
      <c r="H233" s="32"/>
      <c r="I233" s="33"/>
      <c r="J233" s="33"/>
      <c r="K233" s="34" t="str">
        <f aca="false">IF(H233="","",H233*I233)</f>
        <v/>
      </c>
      <c r="L233" s="34" t="str">
        <f aca="false">IF(H233="","",H233*J233)</f>
        <v/>
      </c>
      <c r="M233" s="35" t="str">
        <f aca="false">IF(H233="","",(L233-K233)/K233*10000)</f>
        <v/>
      </c>
      <c r="N233" s="34" t="str">
        <f aca="false">IF(H233="","",K233*IF(E233="업비트",운용규칙!$B$5,운용규칙!$B$6)+L233*IF(F233="업비트",운용규칙!$B$5,운용규칙!$B$6))</f>
        <v/>
      </c>
      <c r="O233" s="34" t="str">
        <f aca="false">IF(H233="","",L233-K233-N233)</f>
        <v/>
      </c>
      <c r="P233" s="35" t="str">
        <f aca="false">IF(H233="","",O233/K233*10000)</f>
        <v/>
      </c>
      <c r="Q233" s="35" t="str">
        <f aca="false">IF(OR(H233="",G233=""),"",G233-P233)</f>
        <v/>
      </c>
      <c r="R233" s="36" t="str">
        <f aca="false">IF(H233="","",IF(OR(G233&lt;운용규칙!$B$8,K233&gt;운용규칙!$B$7),"위반","OK"))</f>
        <v/>
      </c>
      <c r="S233" s="28"/>
    </row>
    <row r="234" customFormat="false" ht="15" hidden="false" customHeight="false" outlineLevel="0" collapsed="false">
      <c r="A234" s="28"/>
      <c r="B234" s="29"/>
      <c r="C234" s="30"/>
      <c r="D234" s="28"/>
      <c r="E234" s="28"/>
      <c r="F234" s="28"/>
      <c r="G234" s="31"/>
      <c r="H234" s="32"/>
      <c r="I234" s="33"/>
      <c r="J234" s="33"/>
      <c r="K234" s="34" t="str">
        <f aca="false">IF(H234="","",H234*I234)</f>
        <v/>
      </c>
      <c r="L234" s="34" t="str">
        <f aca="false">IF(H234="","",H234*J234)</f>
        <v/>
      </c>
      <c r="M234" s="35" t="str">
        <f aca="false">IF(H234="","",(L234-K234)/K234*10000)</f>
        <v/>
      </c>
      <c r="N234" s="34" t="str">
        <f aca="false">IF(H234="","",K234*IF(E234="업비트",운용규칙!$B$5,운용규칙!$B$6)+L234*IF(F234="업비트",운용규칙!$B$5,운용규칙!$B$6))</f>
        <v/>
      </c>
      <c r="O234" s="34" t="str">
        <f aca="false">IF(H234="","",L234-K234-N234)</f>
        <v/>
      </c>
      <c r="P234" s="35" t="str">
        <f aca="false">IF(H234="","",O234/K234*10000)</f>
        <v/>
      </c>
      <c r="Q234" s="35" t="str">
        <f aca="false">IF(OR(H234="",G234=""),"",G234-P234)</f>
        <v/>
      </c>
      <c r="R234" s="36" t="str">
        <f aca="false">IF(H234="","",IF(OR(G234&lt;운용규칙!$B$8,K234&gt;운용규칙!$B$7),"위반","OK"))</f>
        <v/>
      </c>
      <c r="S234" s="28"/>
    </row>
    <row r="235" customFormat="false" ht="15" hidden="false" customHeight="false" outlineLevel="0" collapsed="false">
      <c r="A235" s="28"/>
      <c r="B235" s="29"/>
      <c r="C235" s="30"/>
      <c r="D235" s="28"/>
      <c r="E235" s="28"/>
      <c r="F235" s="28"/>
      <c r="G235" s="31"/>
      <c r="H235" s="32"/>
      <c r="I235" s="33"/>
      <c r="J235" s="33"/>
      <c r="K235" s="34" t="str">
        <f aca="false">IF(H235="","",H235*I235)</f>
        <v/>
      </c>
      <c r="L235" s="34" t="str">
        <f aca="false">IF(H235="","",H235*J235)</f>
        <v/>
      </c>
      <c r="M235" s="35" t="str">
        <f aca="false">IF(H235="","",(L235-K235)/K235*10000)</f>
        <v/>
      </c>
      <c r="N235" s="34" t="str">
        <f aca="false">IF(H235="","",K235*IF(E235="업비트",운용규칙!$B$5,운용규칙!$B$6)+L235*IF(F235="업비트",운용규칙!$B$5,운용규칙!$B$6))</f>
        <v/>
      </c>
      <c r="O235" s="34" t="str">
        <f aca="false">IF(H235="","",L235-K235-N235)</f>
        <v/>
      </c>
      <c r="P235" s="35" t="str">
        <f aca="false">IF(H235="","",O235/K235*10000)</f>
        <v/>
      </c>
      <c r="Q235" s="35" t="str">
        <f aca="false">IF(OR(H235="",G235=""),"",G235-P235)</f>
        <v/>
      </c>
      <c r="R235" s="36" t="str">
        <f aca="false">IF(H235="","",IF(OR(G235&lt;운용규칙!$B$8,K235&gt;운용규칙!$B$7),"위반","OK"))</f>
        <v/>
      </c>
      <c r="S235" s="28"/>
    </row>
    <row r="236" customFormat="false" ht="15" hidden="false" customHeight="false" outlineLevel="0" collapsed="false">
      <c r="A236" s="28"/>
      <c r="B236" s="29"/>
      <c r="C236" s="30"/>
      <c r="D236" s="28"/>
      <c r="E236" s="28"/>
      <c r="F236" s="28"/>
      <c r="G236" s="31"/>
      <c r="H236" s="32"/>
      <c r="I236" s="33"/>
      <c r="J236" s="33"/>
      <c r="K236" s="34" t="str">
        <f aca="false">IF(H236="","",H236*I236)</f>
        <v/>
      </c>
      <c r="L236" s="34" t="str">
        <f aca="false">IF(H236="","",H236*J236)</f>
        <v/>
      </c>
      <c r="M236" s="35" t="str">
        <f aca="false">IF(H236="","",(L236-K236)/K236*10000)</f>
        <v/>
      </c>
      <c r="N236" s="34" t="str">
        <f aca="false">IF(H236="","",K236*IF(E236="업비트",운용규칙!$B$5,운용규칙!$B$6)+L236*IF(F236="업비트",운용규칙!$B$5,운용규칙!$B$6))</f>
        <v/>
      </c>
      <c r="O236" s="34" t="str">
        <f aca="false">IF(H236="","",L236-K236-N236)</f>
        <v/>
      </c>
      <c r="P236" s="35" t="str">
        <f aca="false">IF(H236="","",O236/K236*10000)</f>
        <v/>
      </c>
      <c r="Q236" s="35" t="str">
        <f aca="false">IF(OR(H236="",G236=""),"",G236-P236)</f>
        <v/>
      </c>
      <c r="R236" s="36" t="str">
        <f aca="false">IF(H236="","",IF(OR(G236&lt;운용규칙!$B$8,K236&gt;운용규칙!$B$7),"위반","OK"))</f>
        <v/>
      </c>
      <c r="S236" s="28"/>
    </row>
    <row r="237" customFormat="false" ht="15" hidden="false" customHeight="false" outlineLevel="0" collapsed="false">
      <c r="A237" s="28"/>
      <c r="B237" s="29"/>
      <c r="C237" s="30"/>
      <c r="D237" s="28"/>
      <c r="E237" s="28"/>
      <c r="F237" s="28"/>
      <c r="G237" s="31"/>
      <c r="H237" s="32"/>
      <c r="I237" s="33"/>
      <c r="J237" s="33"/>
      <c r="K237" s="34" t="str">
        <f aca="false">IF(H237="","",H237*I237)</f>
        <v/>
      </c>
      <c r="L237" s="34" t="str">
        <f aca="false">IF(H237="","",H237*J237)</f>
        <v/>
      </c>
      <c r="M237" s="35" t="str">
        <f aca="false">IF(H237="","",(L237-K237)/K237*10000)</f>
        <v/>
      </c>
      <c r="N237" s="34" t="str">
        <f aca="false">IF(H237="","",K237*IF(E237="업비트",운용규칙!$B$5,운용규칙!$B$6)+L237*IF(F237="업비트",운용규칙!$B$5,운용규칙!$B$6))</f>
        <v/>
      </c>
      <c r="O237" s="34" t="str">
        <f aca="false">IF(H237="","",L237-K237-N237)</f>
        <v/>
      </c>
      <c r="P237" s="35" t="str">
        <f aca="false">IF(H237="","",O237/K237*10000)</f>
        <v/>
      </c>
      <c r="Q237" s="35" t="str">
        <f aca="false">IF(OR(H237="",G237=""),"",G237-P237)</f>
        <v/>
      </c>
      <c r="R237" s="36" t="str">
        <f aca="false">IF(H237="","",IF(OR(G237&lt;운용규칙!$B$8,K237&gt;운용규칙!$B$7),"위반","OK"))</f>
        <v/>
      </c>
      <c r="S237" s="28"/>
    </row>
    <row r="238" customFormat="false" ht="15" hidden="false" customHeight="false" outlineLevel="0" collapsed="false">
      <c r="A238" s="28"/>
      <c r="B238" s="29"/>
      <c r="C238" s="30"/>
      <c r="D238" s="28"/>
      <c r="E238" s="28"/>
      <c r="F238" s="28"/>
      <c r="G238" s="31"/>
      <c r="H238" s="32"/>
      <c r="I238" s="33"/>
      <c r="J238" s="33"/>
      <c r="K238" s="34" t="str">
        <f aca="false">IF(H238="","",H238*I238)</f>
        <v/>
      </c>
      <c r="L238" s="34" t="str">
        <f aca="false">IF(H238="","",H238*J238)</f>
        <v/>
      </c>
      <c r="M238" s="35" t="str">
        <f aca="false">IF(H238="","",(L238-K238)/K238*10000)</f>
        <v/>
      </c>
      <c r="N238" s="34" t="str">
        <f aca="false">IF(H238="","",K238*IF(E238="업비트",운용규칙!$B$5,운용규칙!$B$6)+L238*IF(F238="업비트",운용규칙!$B$5,운용규칙!$B$6))</f>
        <v/>
      </c>
      <c r="O238" s="34" t="str">
        <f aca="false">IF(H238="","",L238-K238-N238)</f>
        <v/>
      </c>
      <c r="P238" s="35" t="str">
        <f aca="false">IF(H238="","",O238/K238*10000)</f>
        <v/>
      </c>
      <c r="Q238" s="35" t="str">
        <f aca="false">IF(OR(H238="",G238=""),"",G238-P238)</f>
        <v/>
      </c>
      <c r="R238" s="36" t="str">
        <f aca="false">IF(H238="","",IF(OR(G238&lt;운용규칙!$B$8,K238&gt;운용규칙!$B$7),"위반","OK"))</f>
        <v/>
      </c>
      <c r="S238" s="28"/>
    </row>
    <row r="239" customFormat="false" ht="15" hidden="false" customHeight="false" outlineLevel="0" collapsed="false">
      <c r="A239" s="28"/>
      <c r="B239" s="29"/>
      <c r="C239" s="30"/>
      <c r="D239" s="28"/>
      <c r="E239" s="28"/>
      <c r="F239" s="28"/>
      <c r="G239" s="31"/>
      <c r="H239" s="32"/>
      <c r="I239" s="33"/>
      <c r="J239" s="33"/>
      <c r="K239" s="34" t="str">
        <f aca="false">IF(H239="","",H239*I239)</f>
        <v/>
      </c>
      <c r="L239" s="34" t="str">
        <f aca="false">IF(H239="","",H239*J239)</f>
        <v/>
      </c>
      <c r="M239" s="35" t="str">
        <f aca="false">IF(H239="","",(L239-K239)/K239*10000)</f>
        <v/>
      </c>
      <c r="N239" s="34" t="str">
        <f aca="false">IF(H239="","",K239*IF(E239="업비트",운용규칙!$B$5,운용규칙!$B$6)+L239*IF(F239="업비트",운용규칙!$B$5,운용규칙!$B$6))</f>
        <v/>
      </c>
      <c r="O239" s="34" t="str">
        <f aca="false">IF(H239="","",L239-K239-N239)</f>
        <v/>
      </c>
      <c r="P239" s="35" t="str">
        <f aca="false">IF(H239="","",O239/K239*10000)</f>
        <v/>
      </c>
      <c r="Q239" s="35" t="str">
        <f aca="false">IF(OR(H239="",G239=""),"",G239-P239)</f>
        <v/>
      </c>
      <c r="R239" s="36" t="str">
        <f aca="false">IF(H239="","",IF(OR(G239&lt;운용규칙!$B$8,K239&gt;운용규칙!$B$7),"위반","OK"))</f>
        <v/>
      </c>
      <c r="S239" s="28"/>
    </row>
    <row r="240" customFormat="false" ht="15" hidden="false" customHeight="false" outlineLevel="0" collapsed="false">
      <c r="A240" s="28"/>
      <c r="B240" s="29"/>
      <c r="C240" s="30"/>
      <c r="D240" s="28"/>
      <c r="E240" s="28"/>
      <c r="F240" s="28"/>
      <c r="G240" s="31"/>
      <c r="H240" s="32"/>
      <c r="I240" s="33"/>
      <c r="J240" s="33"/>
      <c r="K240" s="34" t="str">
        <f aca="false">IF(H240="","",H240*I240)</f>
        <v/>
      </c>
      <c r="L240" s="34" t="str">
        <f aca="false">IF(H240="","",H240*J240)</f>
        <v/>
      </c>
      <c r="M240" s="35" t="str">
        <f aca="false">IF(H240="","",(L240-K240)/K240*10000)</f>
        <v/>
      </c>
      <c r="N240" s="34" t="str">
        <f aca="false">IF(H240="","",K240*IF(E240="업비트",운용규칙!$B$5,운용규칙!$B$6)+L240*IF(F240="업비트",운용규칙!$B$5,운용규칙!$B$6))</f>
        <v/>
      </c>
      <c r="O240" s="34" t="str">
        <f aca="false">IF(H240="","",L240-K240-N240)</f>
        <v/>
      </c>
      <c r="P240" s="35" t="str">
        <f aca="false">IF(H240="","",O240/K240*10000)</f>
        <v/>
      </c>
      <c r="Q240" s="35" t="str">
        <f aca="false">IF(OR(H240="",G240=""),"",G240-P240)</f>
        <v/>
      </c>
      <c r="R240" s="36" t="str">
        <f aca="false">IF(H240="","",IF(OR(G240&lt;운용규칙!$B$8,K240&gt;운용규칙!$B$7),"위반","OK"))</f>
        <v/>
      </c>
      <c r="S240" s="28"/>
    </row>
    <row r="241" customFormat="false" ht="15" hidden="false" customHeight="false" outlineLevel="0" collapsed="false">
      <c r="A241" s="28"/>
      <c r="B241" s="29"/>
      <c r="C241" s="30"/>
      <c r="D241" s="28"/>
      <c r="E241" s="28"/>
      <c r="F241" s="28"/>
      <c r="G241" s="31"/>
      <c r="H241" s="32"/>
      <c r="I241" s="33"/>
      <c r="J241" s="33"/>
      <c r="K241" s="34" t="str">
        <f aca="false">IF(H241="","",H241*I241)</f>
        <v/>
      </c>
      <c r="L241" s="34" t="str">
        <f aca="false">IF(H241="","",H241*J241)</f>
        <v/>
      </c>
      <c r="M241" s="35" t="str">
        <f aca="false">IF(H241="","",(L241-K241)/K241*10000)</f>
        <v/>
      </c>
      <c r="N241" s="34" t="str">
        <f aca="false">IF(H241="","",K241*IF(E241="업비트",운용규칙!$B$5,운용규칙!$B$6)+L241*IF(F241="업비트",운용규칙!$B$5,운용규칙!$B$6))</f>
        <v/>
      </c>
      <c r="O241" s="34" t="str">
        <f aca="false">IF(H241="","",L241-K241-N241)</f>
        <v/>
      </c>
      <c r="P241" s="35" t="str">
        <f aca="false">IF(H241="","",O241/K241*10000)</f>
        <v/>
      </c>
      <c r="Q241" s="35" t="str">
        <f aca="false">IF(OR(H241="",G241=""),"",G241-P241)</f>
        <v/>
      </c>
      <c r="R241" s="36" t="str">
        <f aca="false">IF(H241="","",IF(OR(G241&lt;운용규칙!$B$8,K241&gt;운용규칙!$B$7),"위반","OK"))</f>
        <v/>
      </c>
      <c r="S241" s="28"/>
    </row>
    <row r="242" customFormat="false" ht="15" hidden="false" customHeight="false" outlineLevel="0" collapsed="false">
      <c r="A242" s="28"/>
      <c r="B242" s="29"/>
      <c r="C242" s="30"/>
      <c r="D242" s="28"/>
      <c r="E242" s="28"/>
      <c r="F242" s="28"/>
      <c r="G242" s="31"/>
      <c r="H242" s="32"/>
      <c r="I242" s="33"/>
      <c r="J242" s="33"/>
      <c r="K242" s="34" t="str">
        <f aca="false">IF(H242="","",H242*I242)</f>
        <v/>
      </c>
      <c r="L242" s="34" t="str">
        <f aca="false">IF(H242="","",H242*J242)</f>
        <v/>
      </c>
      <c r="M242" s="35" t="str">
        <f aca="false">IF(H242="","",(L242-K242)/K242*10000)</f>
        <v/>
      </c>
      <c r="N242" s="34" t="str">
        <f aca="false">IF(H242="","",K242*IF(E242="업비트",운용규칙!$B$5,운용규칙!$B$6)+L242*IF(F242="업비트",운용규칙!$B$5,운용규칙!$B$6))</f>
        <v/>
      </c>
      <c r="O242" s="34" t="str">
        <f aca="false">IF(H242="","",L242-K242-N242)</f>
        <v/>
      </c>
      <c r="P242" s="35" t="str">
        <f aca="false">IF(H242="","",O242/K242*10000)</f>
        <v/>
      </c>
      <c r="Q242" s="35" t="str">
        <f aca="false">IF(OR(H242="",G242=""),"",G242-P242)</f>
        <v/>
      </c>
      <c r="R242" s="36" t="str">
        <f aca="false">IF(H242="","",IF(OR(G242&lt;운용규칙!$B$8,K242&gt;운용규칙!$B$7),"위반","OK"))</f>
        <v/>
      </c>
      <c r="S242" s="28"/>
    </row>
    <row r="243" customFormat="false" ht="15" hidden="false" customHeight="false" outlineLevel="0" collapsed="false">
      <c r="A243" s="28"/>
      <c r="B243" s="29"/>
      <c r="C243" s="30"/>
      <c r="D243" s="28"/>
      <c r="E243" s="28"/>
      <c r="F243" s="28"/>
      <c r="G243" s="31"/>
      <c r="H243" s="32"/>
      <c r="I243" s="33"/>
      <c r="J243" s="33"/>
      <c r="K243" s="34" t="str">
        <f aca="false">IF(H243="","",H243*I243)</f>
        <v/>
      </c>
      <c r="L243" s="34" t="str">
        <f aca="false">IF(H243="","",H243*J243)</f>
        <v/>
      </c>
      <c r="M243" s="35" t="str">
        <f aca="false">IF(H243="","",(L243-K243)/K243*10000)</f>
        <v/>
      </c>
      <c r="N243" s="34" t="str">
        <f aca="false">IF(H243="","",K243*IF(E243="업비트",운용규칙!$B$5,운용규칙!$B$6)+L243*IF(F243="업비트",운용규칙!$B$5,운용규칙!$B$6))</f>
        <v/>
      </c>
      <c r="O243" s="34" t="str">
        <f aca="false">IF(H243="","",L243-K243-N243)</f>
        <v/>
      </c>
      <c r="P243" s="35" t="str">
        <f aca="false">IF(H243="","",O243/K243*10000)</f>
        <v/>
      </c>
      <c r="Q243" s="35" t="str">
        <f aca="false">IF(OR(H243="",G243=""),"",G243-P243)</f>
        <v/>
      </c>
      <c r="R243" s="36" t="str">
        <f aca="false">IF(H243="","",IF(OR(G243&lt;운용규칙!$B$8,K243&gt;운용규칙!$B$7),"위반","OK"))</f>
        <v/>
      </c>
      <c r="S243" s="28"/>
    </row>
    <row r="244" customFormat="false" ht="15" hidden="false" customHeight="false" outlineLevel="0" collapsed="false">
      <c r="A244" s="28"/>
      <c r="B244" s="29"/>
      <c r="C244" s="30"/>
      <c r="D244" s="28"/>
      <c r="E244" s="28"/>
      <c r="F244" s="28"/>
      <c r="G244" s="31"/>
      <c r="H244" s="32"/>
      <c r="I244" s="33"/>
      <c r="J244" s="33"/>
      <c r="K244" s="34" t="str">
        <f aca="false">IF(H244="","",H244*I244)</f>
        <v/>
      </c>
      <c r="L244" s="34" t="str">
        <f aca="false">IF(H244="","",H244*J244)</f>
        <v/>
      </c>
      <c r="M244" s="35" t="str">
        <f aca="false">IF(H244="","",(L244-K244)/K244*10000)</f>
        <v/>
      </c>
      <c r="N244" s="34" t="str">
        <f aca="false">IF(H244="","",K244*IF(E244="업비트",운용규칙!$B$5,운용규칙!$B$6)+L244*IF(F244="업비트",운용규칙!$B$5,운용규칙!$B$6))</f>
        <v/>
      </c>
      <c r="O244" s="34" t="str">
        <f aca="false">IF(H244="","",L244-K244-N244)</f>
        <v/>
      </c>
      <c r="P244" s="35" t="str">
        <f aca="false">IF(H244="","",O244/K244*10000)</f>
        <v/>
      </c>
      <c r="Q244" s="35" t="str">
        <f aca="false">IF(OR(H244="",G244=""),"",G244-P244)</f>
        <v/>
      </c>
      <c r="R244" s="36" t="str">
        <f aca="false">IF(H244="","",IF(OR(G244&lt;운용규칙!$B$8,K244&gt;운용규칙!$B$7),"위반","OK"))</f>
        <v/>
      </c>
      <c r="S244" s="28"/>
    </row>
    <row r="245" customFormat="false" ht="15" hidden="false" customHeight="false" outlineLevel="0" collapsed="false">
      <c r="A245" s="28"/>
      <c r="B245" s="29"/>
      <c r="C245" s="30"/>
      <c r="D245" s="28"/>
      <c r="E245" s="28"/>
      <c r="F245" s="28"/>
      <c r="G245" s="31"/>
      <c r="H245" s="32"/>
      <c r="I245" s="33"/>
      <c r="J245" s="33"/>
      <c r="K245" s="34" t="str">
        <f aca="false">IF(H245="","",H245*I245)</f>
        <v/>
      </c>
      <c r="L245" s="34" t="str">
        <f aca="false">IF(H245="","",H245*J245)</f>
        <v/>
      </c>
      <c r="M245" s="35" t="str">
        <f aca="false">IF(H245="","",(L245-K245)/K245*10000)</f>
        <v/>
      </c>
      <c r="N245" s="34" t="str">
        <f aca="false">IF(H245="","",K245*IF(E245="업비트",운용규칙!$B$5,운용규칙!$B$6)+L245*IF(F245="업비트",운용규칙!$B$5,운용규칙!$B$6))</f>
        <v/>
      </c>
      <c r="O245" s="34" t="str">
        <f aca="false">IF(H245="","",L245-K245-N245)</f>
        <v/>
      </c>
      <c r="P245" s="35" t="str">
        <f aca="false">IF(H245="","",O245/K245*10000)</f>
        <v/>
      </c>
      <c r="Q245" s="35" t="str">
        <f aca="false">IF(OR(H245="",G245=""),"",G245-P245)</f>
        <v/>
      </c>
      <c r="R245" s="36" t="str">
        <f aca="false">IF(H245="","",IF(OR(G245&lt;운용규칙!$B$8,K245&gt;운용규칙!$B$7),"위반","OK"))</f>
        <v/>
      </c>
      <c r="S245" s="28"/>
    </row>
    <row r="246" customFormat="false" ht="15" hidden="false" customHeight="false" outlineLevel="0" collapsed="false">
      <c r="A246" s="28"/>
      <c r="B246" s="29"/>
      <c r="C246" s="30"/>
      <c r="D246" s="28"/>
      <c r="E246" s="28"/>
      <c r="F246" s="28"/>
      <c r="G246" s="31"/>
      <c r="H246" s="32"/>
      <c r="I246" s="33"/>
      <c r="J246" s="33"/>
      <c r="K246" s="34" t="str">
        <f aca="false">IF(H246="","",H246*I246)</f>
        <v/>
      </c>
      <c r="L246" s="34" t="str">
        <f aca="false">IF(H246="","",H246*J246)</f>
        <v/>
      </c>
      <c r="M246" s="35" t="str">
        <f aca="false">IF(H246="","",(L246-K246)/K246*10000)</f>
        <v/>
      </c>
      <c r="N246" s="34" t="str">
        <f aca="false">IF(H246="","",K246*IF(E246="업비트",운용규칙!$B$5,운용규칙!$B$6)+L246*IF(F246="업비트",운용규칙!$B$5,운용규칙!$B$6))</f>
        <v/>
      </c>
      <c r="O246" s="34" t="str">
        <f aca="false">IF(H246="","",L246-K246-N246)</f>
        <v/>
      </c>
      <c r="P246" s="35" t="str">
        <f aca="false">IF(H246="","",O246/K246*10000)</f>
        <v/>
      </c>
      <c r="Q246" s="35" t="str">
        <f aca="false">IF(OR(H246="",G246=""),"",G246-P246)</f>
        <v/>
      </c>
      <c r="R246" s="36" t="str">
        <f aca="false">IF(H246="","",IF(OR(G246&lt;운용규칙!$B$8,K246&gt;운용규칙!$B$7),"위반","OK"))</f>
        <v/>
      </c>
      <c r="S246" s="28"/>
    </row>
    <row r="247" customFormat="false" ht="15" hidden="false" customHeight="false" outlineLevel="0" collapsed="false">
      <c r="A247" s="28"/>
      <c r="B247" s="29"/>
      <c r="C247" s="30"/>
      <c r="D247" s="28"/>
      <c r="E247" s="28"/>
      <c r="F247" s="28"/>
      <c r="G247" s="31"/>
      <c r="H247" s="32"/>
      <c r="I247" s="33"/>
      <c r="J247" s="33"/>
      <c r="K247" s="34" t="str">
        <f aca="false">IF(H247="","",H247*I247)</f>
        <v/>
      </c>
      <c r="L247" s="34" t="str">
        <f aca="false">IF(H247="","",H247*J247)</f>
        <v/>
      </c>
      <c r="M247" s="35" t="str">
        <f aca="false">IF(H247="","",(L247-K247)/K247*10000)</f>
        <v/>
      </c>
      <c r="N247" s="34" t="str">
        <f aca="false">IF(H247="","",K247*IF(E247="업비트",운용규칙!$B$5,운용규칙!$B$6)+L247*IF(F247="업비트",운용규칙!$B$5,운용규칙!$B$6))</f>
        <v/>
      </c>
      <c r="O247" s="34" t="str">
        <f aca="false">IF(H247="","",L247-K247-N247)</f>
        <v/>
      </c>
      <c r="P247" s="35" t="str">
        <f aca="false">IF(H247="","",O247/K247*10000)</f>
        <v/>
      </c>
      <c r="Q247" s="35" t="str">
        <f aca="false">IF(OR(H247="",G247=""),"",G247-P247)</f>
        <v/>
      </c>
      <c r="R247" s="36" t="str">
        <f aca="false">IF(H247="","",IF(OR(G247&lt;운용규칙!$B$8,K247&gt;운용규칙!$B$7),"위반","OK"))</f>
        <v/>
      </c>
      <c r="S247" s="28"/>
    </row>
    <row r="248" customFormat="false" ht="15" hidden="false" customHeight="false" outlineLevel="0" collapsed="false">
      <c r="A248" s="28"/>
      <c r="B248" s="29"/>
      <c r="C248" s="30"/>
      <c r="D248" s="28"/>
      <c r="E248" s="28"/>
      <c r="F248" s="28"/>
      <c r="G248" s="31"/>
      <c r="H248" s="32"/>
      <c r="I248" s="33"/>
      <c r="J248" s="33"/>
      <c r="K248" s="34" t="str">
        <f aca="false">IF(H248="","",H248*I248)</f>
        <v/>
      </c>
      <c r="L248" s="34" t="str">
        <f aca="false">IF(H248="","",H248*J248)</f>
        <v/>
      </c>
      <c r="M248" s="35" t="str">
        <f aca="false">IF(H248="","",(L248-K248)/K248*10000)</f>
        <v/>
      </c>
      <c r="N248" s="34" t="str">
        <f aca="false">IF(H248="","",K248*IF(E248="업비트",운용규칙!$B$5,운용규칙!$B$6)+L248*IF(F248="업비트",운용규칙!$B$5,운용규칙!$B$6))</f>
        <v/>
      </c>
      <c r="O248" s="34" t="str">
        <f aca="false">IF(H248="","",L248-K248-N248)</f>
        <v/>
      </c>
      <c r="P248" s="35" t="str">
        <f aca="false">IF(H248="","",O248/K248*10000)</f>
        <v/>
      </c>
      <c r="Q248" s="35" t="str">
        <f aca="false">IF(OR(H248="",G248=""),"",G248-P248)</f>
        <v/>
      </c>
      <c r="R248" s="36" t="str">
        <f aca="false">IF(H248="","",IF(OR(G248&lt;운용규칙!$B$8,K248&gt;운용규칙!$B$7),"위반","OK"))</f>
        <v/>
      </c>
      <c r="S248" s="28"/>
    </row>
    <row r="249" customFormat="false" ht="15" hidden="false" customHeight="false" outlineLevel="0" collapsed="false">
      <c r="A249" s="28"/>
      <c r="B249" s="29"/>
      <c r="C249" s="30"/>
      <c r="D249" s="28"/>
      <c r="E249" s="28"/>
      <c r="F249" s="28"/>
      <c r="G249" s="31"/>
      <c r="H249" s="32"/>
      <c r="I249" s="33"/>
      <c r="J249" s="33"/>
      <c r="K249" s="34" t="str">
        <f aca="false">IF(H249="","",H249*I249)</f>
        <v/>
      </c>
      <c r="L249" s="34" t="str">
        <f aca="false">IF(H249="","",H249*J249)</f>
        <v/>
      </c>
      <c r="M249" s="35" t="str">
        <f aca="false">IF(H249="","",(L249-K249)/K249*10000)</f>
        <v/>
      </c>
      <c r="N249" s="34" t="str">
        <f aca="false">IF(H249="","",K249*IF(E249="업비트",운용규칙!$B$5,운용규칙!$B$6)+L249*IF(F249="업비트",운용규칙!$B$5,운용규칙!$B$6))</f>
        <v/>
      </c>
      <c r="O249" s="34" t="str">
        <f aca="false">IF(H249="","",L249-K249-N249)</f>
        <v/>
      </c>
      <c r="P249" s="35" t="str">
        <f aca="false">IF(H249="","",O249/K249*10000)</f>
        <v/>
      </c>
      <c r="Q249" s="35" t="str">
        <f aca="false">IF(OR(H249="",G249=""),"",G249-P249)</f>
        <v/>
      </c>
      <c r="R249" s="36" t="str">
        <f aca="false">IF(H249="","",IF(OR(G249&lt;운용규칙!$B$8,K249&gt;운용규칙!$B$7),"위반","OK"))</f>
        <v/>
      </c>
      <c r="S249" s="28"/>
    </row>
    <row r="250" customFormat="false" ht="15" hidden="false" customHeight="false" outlineLevel="0" collapsed="false">
      <c r="A250" s="28"/>
      <c r="B250" s="29"/>
      <c r="C250" s="30"/>
      <c r="D250" s="28"/>
      <c r="E250" s="28"/>
      <c r="F250" s="28"/>
      <c r="G250" s="31"/>
      <c r="H250" s="32"/>
      <c r="I250" s="33"/>
      <c r="J250" s="33"/>
      <c r="K250" s="34" t="str">
        <f aca="false">IF(H250="","",H250*I250)</f>
        <v/>
      </c>
      <c r="L250" s="34" t="str">
        <f aca="false">IF(H250="","",H250*J250)</f>
        <v/>
      </c>
      <c r="M250" s="35" t="str">
        <f aca="false">IF(H250="","",(L250-K250)/K250*10000)</f>
        <v/>
      </c>
      <c r="N250" s="34" t="str">
        <f aca="false">IF(H250="","",K250*IF(E250="업비트",운용규칙!$B$5,운용규칙!$B$6)+L250*IF(F250="업비트",운용규칙!$B$5,운용규칙!$B$6))</f>
        <v/>
      </c>
      <c r="O250" s="34" t="str">
        <f aca="false">IF(H250="","",L250-K250-N250)</f>
        <v/>
      </c>
      <c r="P250" s="35" t="str">
        <f aca="false">IF(H250="","",O250/K250*10000)</f>
        <v/>
      </c>
      <c r="Q250" s="35" t="str">
        <f aca="false">IF(OR(H250="",G250=""),"",G250-P250)</f>
        <v/>
      </c>
      <c r="R250" s="36" t="str">
        <f aca="false">IF(H250="","",IF(OR(G250&lt;운용규칙!$B$8,K250&gt;운용규칙!$B$7),"위반","OK"))</f>
        <v/>
      </c>
      <c r="S250" s="28"/>
    </row>
    <row r="251" customFormat="false" ht="15" hidden="false" customHeight="false" outlineLevel="0" collapsed="false">
      <c r="A251" s="28"/>
      <c r="B251" s="29"/>
      <c r="C251" s="30"/>
      <c r="D251" s="28"/>
      <c r="E251" s="28"/>
      <c r="F251" s="28"/>
      <c r="G251" s="31"/>
      <c r="H251" s="32"/>
      <c r="I251" s="33"/>
      <c r="J251" s="33"/>
      <c r="K251" s="34" t="str">
        <f aca="false">IF(H251="","",H251*I251)</f>
        <v/>
      </c>
      <c r="L251" s="34" t="str">
        <f aca="false">IF(H251="","",H251*J251)</f>
        <v/>
      </c>
      <c r="M251" s="35" t="str">
        <f aca="false">IF(H251="","",(L251-K251)/K251*10000)</f>
        <v/>
      </c>
      <c r="N251" s="34" t="str">
        <f aca="false">IF(H251="","",K251*IF(E251="업비트",운용규칙!$B$5,운용규칙!$B$6)+L251*IF(F251="업비트",운용규칙!$B$5,운용규칙!$B$6))</f>
        <v/>
      </c>
      <c r="O251" s="34" t="str">
        <f aca="false">IF(H251="","",L251-K251-N251)</f>
        <v/>
      </c>
      <c r="P251" s="35" t="str">
        <f aca="false">IF(H251="","",O251/K251*10000)</f>
        <v/>
      </c>
      <c r="Q251" s="35" t="str">
        <f aca="false">IF(OR(H251="",G251=""),"",G251-P251)</f>
        <v/>
      </c>
      <c r="R251" s="36" t="str">
        <f aca="false">IF(H251="","",IF(OR(G251&lt;운용규칙!$B$8,K251&gt;운용규칙!$B$7),"위반","OK"))</f>
        <v/>
      </c>
      <c r="S251" s="28"/>
    </row>
    <row r="252" customFormat="false" ht="15" hidden="false" customHeight="false" outlineLevel="0" collapsed="false">
      <c r="A252" s="28"/>
      <c r="B252" s="29"/>
      <c r="C252" s="30"/>
      <c r="D252" s="28"/>
      <c r="E252" s="28"/>
      <c r="F252" s="28"/>
      <c r="G252" s="31"/>
      <c r="H252" s="32"/>
      <c r="I252" s="33"/>
      <c r="J252" s="33"/>
      <c r="K252" s="34" t="str">
        <f aca="false">IF(H252="","",H252*I252)</f>
        <v/>
      </c>
      <c r="L252" s="34" t="str">
        <f aca="false">IF(H252="","",H252*J252)</f>
        <v/>
      </c>
      <c r="M252" s="35" t="str">
        <f aca="false">IF(H252="","",(L252-K252)/K252*10000)</f>
        <v/>
      </c>
      <c r="N252" s="34" t="str">
        <f aca="false">IF(H252="","",K252*IF(E252="업비트",운용규칙!$B$5,운용규칙!$B$6)+L252*IF(F252="업비트",운용규칙!$B$5,운용규칙!$B$6))</f>
        <v/>
      </c>
      <c r="O252" s="34" t="str">
        <f aca="false">IF(H252="","",L252-K252-N252)</f>
        <v/>
      </c>
      <c r="P252" s="35" t="str">
        <f aca="false">IF(H252="","",O252/K252*10000)</f>
        <v/>
      </c>
      <c r="Q252" s="35" t="str">
        <f aca="false">IF(OR(H252="",G252=""),"",G252-P252)</f>
        <v/>
      </c>
      <c r="R252" s="36" t="str">
        <f aca="false">IF(H252="","",IF(OR(G252&lt;운용규칙!$B$8,K252&gt;운용규칙!$B$7),"위반","OK"))</f>
        <v/>
      </c>
      <c r="S252" s="28"/>
    </row>
    <row r="253" customFormat="false" ht="15" hidden="false" customHeight="false" outlineLevel="0" collapsed="false">
      <c r="A253" s="28"/>
      <c r="B253" s="29"/>
      <c r="C253" s="30"/>
      <c r="D253" s="28"/>
      <c r="E253" s="28"/>
      <c r="F253" s="28"/>
      <c r="G253" s="31"/>
      <c r="H253" s="32"/>
      <c r="I253" s="33"/>
      <c r="J253" s="33"/>
      <c r="K253" s="34" t="str">
        <f aca="false">IF(H253="","",H253*I253)</f>
        <v/>
      </c>
      <c r="L253" s="34" t="str">
        <f aca="false">IF(H253="","",H253*J253)</f>
        <v/>
      </c>
      <c r="M253" s="35" t="str">
        <f aca="false">IF(H253="","",(L253-K253)/K253*10000)</f>
        <v/>
      </c>
      <c r="N253" s="34" t="str">
        <f aca="false">IF(H253="","",K253*IF(E253="업비트",운용규칙!$B$5,운용규칙!$B$6)+L253*IF(F253="업비트",운용규칙!$B$5,운용규칙!$B$6))</f>
        <v/>
      </c>
      <c r="O253" s="34" t="str">
        <f aca="false">IF(H253="","",L253-K253-N253)</f>
        <v/>
      </c>
      <c r="P253" s="35" t="str">
        <f aca="false">IF(H253="","",O253/K253*10000)</f>
        <v/>
      </c>
      <c r="Q253" s="35" t="str">
        <f aca="false">IF(OR(H253="",G253=""),"",G253-P253)</f>
        <v/>
      </c>
      <c r="R253" s="36" t="str">
        <f aca="false">IF(H253="","",IF(OR(G253&lt;운용규칙!$B$8,K253&gt;운용규칙!$B$7),"위반","OK"))</f>
        <v/>
      </c>
      <c r="S253" s="28"/>
    </row>
    <row r="254" customFormat="false" ht="15" hidden="false" customHeight="false" outlineLevel="0" collapsed="false">
      <c r="A254" s="28"/>
      <c r="B254" s="29"/>
      <c r="C254" s="30"/>
      <c r="D254" s="28"/>
      <c r="E254" s="28"/>
      <c r="F254" s="28"/>
      <c r="G254" s="31"/>
      <c r="H254" s="32"/>
      <c r="I254" s="33"/>
      <c r="J254" s="33"/>
      <c r="K254" s="34" t="str">
        <f aca="false">IF(H254="","",H254*I254)</f>
        <v/>
      </c>
      <c r="L254" s="34" t="str">
        <f aca="false">IF(H254="","",H254*J254)</f>
        <v/>
      </c>
      <c r="M254" s="35" t="str">
        <f aca="false">IF(H254="","",(L254-K254)/K254*10000)</f>
        <v/>
      </c>
      <c r="N254" s="34" t="str">
        <f aca="false">IF(H254="","",K254*IF(E254="업비트",운용규칙!$B$5,운용규칙!$B$6)+L254*IF(F254="업비트",운용규칙!$B$5,운용규칙!$B$6))</f>
        <v/>
      </c>
      <c r="O254" s="34" t="str">
        <f aca="false">IF(H254="","",L254-K254-N254)</f>
        <v/>
      </c>
      <c r="P254" s="35" t="str">
        <f aca="false">IF(H254="","",O254/K254*10000)</f>
        <v/>
      </c>
      <c r="Q254" s="35" t="str">
        <f aca="false">IF(OR(H254="",G254=""),"",G254-P254)</f>
        <v/>
      </c>
      <c r="R254" s="36" t="str">
        <f aca="false">IF(H254="","",IF(OR(G254&lt;운용규칙!$B$8,K254&gt;운용규칙!$B$7),"위반","OK"))</f>
        <v/>
      </c>
      <c r="S254" s="28"/>
    </row>
    <row r="255" customFormat="false" ht="15" hidden="false" customHeight="false" outlineLevel="0" collapsed="false">
      <c r="A255" s="28"/>
      <c r="B255" s="29"/>
      <c r="C255" s="30"/>
      <c r="D255" s="28"/>
      <c r="E255" s="28"/>
      <c r="F255" s="28"/>
      <c r="G255" s="31"/>
      <c r="H255" s="32"/>
      <c r="I255" s="33"/>
      <c r="J255" s="33"/>
      <c r="K255" s="34" t="str">
        <f aca="false">IF(H255="","",H255*I255)</f>
        <v/>
      </c>
      <c r="L255" s="34" t="str">
        <f aca="false">IF(H255="","",H255*J255)</f>
        <v/>
      </c>
      <c r="M255" s="35" t="str">
        <f aca="false">IF(H255="","",(L255-K255)/K255*10000)</f>
        <v/>
      </c>
      <c r="N255" s="34" t="str">
        <f aca="false">IF(H255="","",K255*IF(E255="업비트",운용규칙!$B$5,운용규칙!$B$6)+L255*IF(F255="업비트",운용규칙!$B$5,운용규칙!$B$6))</f>
        <v/>
      </c>
      <c r="O255" s="34" t="str">
        <f aca="false">IF(H255="","",L255-K255-N255)</f>
        <v/>
      </c>
      <c r="P255" s="35" t="str">
        <f aca="false">IF(H255="","",O255/K255*10000)</f>
        <v/>
      </c>
      <c r="Q255" s="35" t="str">
        <f aca="false">IF(OR(H255="",G255=""),"",G255-P255)</f>
        <v/>
      </c>
      <c r="R255" s="36" t="str">
        <f aca="false">IF(H255="","",IF(OR(G255&lt;운용규칙!$B$8,K255&gt;운용규칙!$B$7),"위반","OK"))</f>
        <v/>
      </c>
      <c r="S255" s="28"/>
    </row>
    <row r="256" customFormat="false" ht="15" hidden="false" customHeight="false" outlineLevel="0" collapsed="false">
      <c r="A256" s="28"/>
      <c r="B256" s="29"/>
      <c r="C256" s="30"/>
      <c r="D256" s="28"/>
      <c r="E256" s="28"/>
      <c r="F256" s="28"/>
      <c r="G256" s="31"/>
      <c r="H256" s="32"/>
      <c r="I256" s="33"/>
      <c r="J256" s="33"/>
      <c r="K256" s="34" t="str">
        <f aca="false">IF(H256="","",H256*I256)</f>
        <v/>
      </c>
      <c r="L256" s="34" t="str">
        <f aca="false">IF(H256="","",H256*J256)</f>
        <v/>
      </c>
      <c r="M256" s="35" t="str">
        <f aca="false">IF(H256="","",(L256-K256)/K256*10000)</f>
        <v/>
      </c>
      <c r="N256" s="34" t="str">
        <f aca="false">IF(H256="","",K256*IF(E256="업비트",운용규칙!$B$5,운용규칙!$B$6)+L256*IF(F256="업비트",운용규칙!$B$5,운용규칙!$B$6))</f>
        <v/>
      </c>
      <c r="O256" s="34" t="str">
        <f aca="false">IF(H256="","",L256-K256-N256)</f>
        <v/>
      </c>
      <c r="P256" s="35" t="str">
        <f aca="false">IF(H256="","",O256/K256*10000)</f>
        <v/>
      </c>
      <c r="Q256" s="35" t="str">
        <f aca="false">IF(OR(H256="",G256=""),"",G256-P256)</f>
        <v/>
      </c>
      <c r="R256" s="36" t="str">
        <f aca="false">IF(H256="","",IF(OR(G256&lt;운용규칙!$B$8,K256&gt;운용규칙!$B$7),"위반","OK"))</f>
        <v/>
      </c>
      <c r="S256" s="28"/>
    </row>
    <row r="257" customFormat="false" ht="15" hidden="false" customHeight="false" outlineLevel="0" collapsed="false">
      <c r="A257" s="28"/>
      <c r="B257" s="29"/>
      <c r="C257" s="30"/>
      <c r="D257" s="28"/>
      <c r="E257" s="28"/>
      <c r="F257" s="28"/>
      <c r="G257" s="31"/>
      <c r="H257" s="32"/>
      <c r="I257" s="33"/>
      <c r="J257" s="33"/>
      <c r="K257" s="34" t="str">
        <f aca="false">IF(H257="","",H257*I257)</f>
        <v/>
      </c>
      <c r="L257" s="34" t="str">
        <f aca="false">IF(H257="","",H257*J257)</f>
        <v/>
      </c>
      <c r="M257" s="35" t="str">
        <f aca="false">IF(H257="","",(L257-K257)/K257*10000)</f>
        <v/>
      </c>
      <c r="N257" s="34" t="str">
        <f aca="false">IF(H257="","",K257*IF(E257="업비트",운용규칙!$B$5,운용규칙!$B$6)+L257*IF(F257="업비트",운용규칙!$B$5,운용규칙!$B$6))</f>
        <v/>
      </c>
      <c r="O257" s="34" t="str">
        <f aca="false">IF(H257="","",L257-K257-N257)</f>
        <v/>
      </c>
      <c r="P257" s="35" t="str">
        <f aca="false">IF(H257="","",O257/K257*10000)</f>
        <v/>
      </c>
      <c r="Q257" s="35" t="str">
        <f aca="false">IF(OR(H257="",G257=""),"",G257-P257)</f>
        <v/>
      </c>
      <c r="R257" s="36" t="str">
        <f aca="false">IF(H257="","",IF(OR(G257&lt;운용규칙!$B$8,K257&gt;운용규칙!$B$7),"위반","OK"))</f>
        <v/>
      </c>
      <c r="S257" s="28"/>
    </row>
    <row r="258" customFormat="false" ht="15" hidden="false" customHeight="false" outlineLevel="0" collapsed="false">
      <c r="A258" s="28"/>
      <c r="B258" s="29"/>
      <c r="C258" s="30"/>
      <c r="D258" s="28"/>
      <c r="E258" s="28"/>
      <c r="F258" s="28"/>
      <c r="G258" s="31"/>
      <c r="H258" s="32"/>
      <c r="I258" s="33"/>
      <c r="J258" s="33"/>
      <c r="K258" s="34" t="str">
        <f aca="false">IF(H258="","",H258*I258)</f>
        <v/>
      </c>
      <c r="L258" s="34" t="str">
        <f aca="false">IF(H258="","",H258*J258)</f>
        <v/>
      </c>
      <c r="M258" s="35" t="str">
        <f aca="false">IF(H258="","",(L258-K258)/K258*10000)</f>
        <v/>
      </c>
      <c r="N258" s="34" t="str">
        <f aca="false">IF(H258="","",K258*IF(E258="업비트",운용규칙!$B$5,운용규칙!$B$6)+L258*IF(F258="업비트",운용규칙!$B$5,운용규칙!$B$6))</f>
        <v/>
      </c>
      <c r="O258" s="34" t="str">
        <f aca="false">IF(H258="","",L258-K258-N258)</f>
        <v/>
      </c>
      <c r="P258" s="35" t="str">
        <f aca="false">IF(H258="","",O258/K258*10000)</f>
        <v/>
      </c>
      <c r="Q258" s="35" t="str">
        <f aca="false">IF(OR(H258="",G258=""),"",G258-P258)</f>
        <v/>
      </c>
      <c r="R258" s="36" t="str">
        <f aca="false">IF(H258="","",IF(OR(G258&lt;운용규칙!$B$8,K258&gt;운용규칙!$B$7),"위반","OK"))</f>
        <v/>
      </c>
      <c r="S258" s="28"/>
    </row>
    <row r="259" customFormat="false" ht="15" hidden="false" customHeight="false" outlineLevel="0" collapsed="false">
      <c r="A259" s="28"/>
      <c r="B259" s="29"/>
      <c r="C259" s="30"/>
      <c r="D259" s="28"/>
      <c r="E259" s="28"/>
      <c r="F259" s="28"/>
      <c r="G259" s="31"/>
      <c r="H259" s="32"/>
      <c r="I259" s="33"/>
      <c r="J259" s="33"/>
      <c r="K259" s="34" t="str">
        <f aca="false">IF(H259="","",H259*I259)</f>
        <v/>
      </c>
      <c r="L259" s="34" t="str">
        <f aca="false">IF(H259="","",H259*J259)</f>
        <v/>
      </c>
      <c r="M259" s="35" t="str">
        <f aca="false">IF(H259="","",(L259-K259)/K259*10000)</f>
        <v/>
      </c>
      <c r="N259" s="34" t="str">
        <f aca="false">IF(H259="","",K259*IF(E259="업비트",운용규칙!$B$5,운용규칙!$B$6)+L259*IF(F259="업비트",운용규칙!$B$5,운용규칙!$B$6))</f>
        <v/>
      </c>
      <c r="O259" s="34" t="str">
        <f aca="false">IF(H259="","",L259-K259-N259)</f>
        <v/>
      </c>
      <c r="P259" s="35" t="str">
        <f aca="false">IF(H259="","",O259/K259*10000)</f>
        <v/>
      </c>
      <c r="Q259" s="35" t="str">
        <f aca="false">IF(OR(H259="",G259=""),"",G259-P259)</f>
        <v/>
      </c>
      <c r="R259" s="36" t="str">
        <f aca="false">IF(H259="","",IF(OR(G259&lt;운용규칙!$B$8,K259&gt;운용규칙!$B$7),"위반","OK"))</f>
        <v/>
      </c>
      <c r="S259" s="28"/>
    </row>
    <row r="260" customFormat="false" ht="15" hidden="false" customHeight="false" outlineLevel="0" collapsed="false">
      <c r="A260" s="28"/>
      <c r="B260" s="29"/>
      <c r="C260" s="30"/>
      <c r="D260" s="28"/>
      <c r="E260" s="28"/>
      <c r="F260" s="28"/>
      <c r="G260" s="31"/>
      <c r="H260" s="32"/>
      <c r="I260" s="33"/>
      <c r="J260" s="33"/>
      <c r="K260" s="34" t="str">
        <f aca="false">IF(H260="","",H260*I260)</f>
        <v/>
      </c>
      <c r="L260" s="34" t="str">
        <f aca="false">IF(H260="","",H260*J260)</f>
        <v/>
      </c>
      <c r="M260" s="35" t="str">
        <f aca="false">IF(H260="","",(L260-K260)/K260*10000)</f>
        <v/>
      </c>
      <c r="N260" s="34" t="str">
        <f aca="false">IF(H260="","",K260*IF(E260="업비트",운용규칙!$B$5,운용규칙!$B$6)+L260*IF(F260="업비트",운용규칙!$B$5,운용규칙!$B$6))</f>
        <v/>
      </c>
      <c r="O260" s="34" t="str">
        <f aca="false">IF(H260="","",L260-K260-N260)</f>
        <v/>
      </c>
      <c r="P260" s="35" t="str">
        <f aca="false">IF(H260="","",O260/K260*10000)</f>
        <v/>
      </c>
      <c r="Q260" s="35" t="str">
        <f aca="false">IF(OR(H260="",G260=""),"",G260-P260)</f>
        <v/>
      </c>
      <c r="R260" s="36" t="str">
        <f aca="false">IF(H260="","",IF(OR(G260&lt;운용규칙!$B$8,K260&gt;운용규칙!$B$7),"위반","OK"))</f>
        <v/>
      </c>
      <c r="S260" s="28"/>
    </row>
    <row r="261" customFormat="false" ht="15" hidden="false" customHeight="false" outlineLevel="0" collapsed="false">
      <c r="A261" s="28"/>
      <c r="B261" s="29"/>
      <c r="C261" s="30"/>
      <c r="D261" s="28"/>
      <c r="E261" s="28"/>
      <c r="F261" s="28"/>
      <c r="G261" s="31"/>
      <c r="H261" s="32"/>
      <c r="I261" s="33"/>
      <c r="J261" s="33"/>
      <c r="K261" s="34" t="str">
        <f aca="false">IF(H261="","",H261*I261)</f>
        <v/>
      </c>
      <c r="L261" s="34" t="str">
        <f aca="false">IF(H261="","",H261*J261)</f>
        <v/>
      </c>
      <c r="M261" s="35" t="str">
        <f aca="false">IF(H261="","",(L261-K261)/K261*10000)</f>
        <v/>
      </c>
      <c r="N261" s="34" t="str">
        <f aca="false">IF(H261="","",K261*IF(E261="업비트",운용규칙!$B$5,운용규칙!$B$6)+L261*IF(F261="업비트",운용규칙!$B$5,운용규칙!$B$6))</f>
        <v/>
      </c>
      <c r="O261" s="34" t="str">
        <f aca="false">IF(H261="","",L261-K261-N261)</f>
        <v/>
      </c>
      <c r="P261" s="35" t="str">
        <f aca="false">IF(H261="","",O261/K261*10000)</f>
        <v/>
      </c>
      <c r="Q261" s="35" t="str">
        <f aca="false">IF(OR(H261="",G261=""),"",G261-P261)</f>
        <v/>
      </c>
      <c r="R261" s="36" t="str">
        <f aca="false">IF(H261="","",IF(OR(G261&lt;운용규칙!$B$8,K261&gt;운용규칙!$B$7),"위반","OK"))</f>
        <v/>
      </c>
      <c r="S261" s="28"/>
    </row>
    <row r="262" customFormat="false" ht="15" hidden="false" customHeight="false" outlineLevel="0" collapsed="false">
      <c r="A262" s="28"/>
      <c r="B262" s="29"/>
      <c r="C262" s="30"/>
      <c r="D262" s="28"/>
      <c r="E262" s="28"/>
      <c r="F262" s="28"/>
      <c r="G262" s="31"/>
      <c r="H262" s="32"/>
      <c r="I262" s="33"/>
      <c r="J262" s="33"/>
      <c r="K262" s="34" t="str">
        <f aca="false">IF(H262="","",H262*I262)</f>
        <v/>
      </c>
      <c r="L262" s="34" t="str">
        <f aca="false">IF(H262="","",H262*J262)</f>
        <v/>
      </c>
      <c r="M262" s="35" t="str">
        <f aca="false">IF(H262="","",(L262-K262)/K262*10000)</f>
        <v/>
      </c>
      <c r="N262" s="34" t="str">
        <f aca="false">IF(H262="","",K262*IF(E262="업비트",운용규칙!$B$5,운용규칙!$B$6)+L262*IF(F262="업비트",운용규칙!$B$5,운용규칙!$B$6))</f>
        <v/>
      </c>
      <c r="O262" s="34" t="str">
        <f aca="false">IF(H262="","",L262-K262-N262)</f>
        <v/>
      </c>
      <c r="P262" s="35" t="str">
        <f aca="false">IF(H262="","",O262/K262*10000)</f>
        <v/>
      </c>
      <c r="Q262" s="35" t="str">
        <f aca="false">IF(OR(H262="",G262=""),"",G262-P262)</f>
        <v/>
      </c>
      <c r="R262" s="36" t="str">
        <f aca="false">IF(H262="","",IF(OR(G262&lt;운용규칙!$B$8,K262&gt;운용규칙!$B$7),"위반","OK"))</f>
        <v/>
      </c>
      <c r="S262" s="28"/>
    </row>
    <row r="263" customFormat="false" ht="15" hidden="false" customHeight="false" outlineLevel="0" collapsed="false">
      <c r="A263" s="28"/>
      <c r="B263" s="29"/>
      <c r="C263" s="30"/>
      <c r="D263" s="28"/>
      <c r="E263" s="28"/>
      <c r="F263" s="28"/>
      <c r="G263" s="31"/>
      <c r="H263" s="32"/>
      <c r="I263" s="33"/>
      <c r="J263" s="33"/>
      <c r="K263" s="34" t="str">
        <f aca="false">IF(H263="","",H263*I263)</f>
        <v/>
      </c>
      <c r="L263" s="34" t="str">
        <f aca="false">IF(H263="","",H263*J263)</f>
        <v/>
      </c>
      <c r="M263" s="35" t="str">
        <f aca="false">IF(H263="","",(L263-K263)/K263*10000)</f>
        <v/>
      </c>
      <c r="N263" s="34" t="str">
        <f aca="false">IF(H263="","",K263*IF(E263="업비트",운용규칙!$B$5,운용규칙!$B$6)+L263*IF(F263="업비트",운용규칙!$B$5,운용규칙!$B$6))</f>
        <v/>
      </c>
      <c r="O263" s="34" t="str">
        <f aca="false">IF(H263="","",L263-K263-N263)</f>
        <v/>
      </c>
      <c r="P263" s="35" t="str">
        <f aca="false">IF(H263="","",O263/K263*10000)</f>
        <v/>
      </c>
      <c r="Q263" s="35" t="str">
        <f aca="false">IF(OR(H263="",G263=""),"",G263-P263)</f>
        <v/>
      </c>
      <c r="R263" s="36" t="str">
        <f aca="false">IF(H263="","",IF(OR(G263&lt;운용규칙!$B$8,K263&gt;운용규칙!$B$7),"위반","OK"))</f>
        <v/>
      </c>
      <c r="S263" s="28"/>
    </row>
    <row r="264" customFormat="false" ht="15" hidden="false" customHeight="false" outlineLevel="0" collapsed="false">
      <c r="A264" s="28"/>
      <c r="B264" s="29"/>
      <c r="C264" s="30"/>
      <c r="D264" s="28"/>
      <c r="E264" s="28"/>
      <c r="F264" s="28"/>
      <c r="G264" s="31"/>
      <c r="H264" s="32"/>
      <c r="I264" s="33"/>
      <c r="J264" s="33"/>
      <c r="K264" s="34" t="str">
        <f aca="false">IF(H264="","",H264*I264)</f>
        <v/>
      </c>
      <c r="L264" s="34" t="str">
        <f aca="false">IF(H264="","",H264*J264)</f>
        <v/>
      </c>
      <c r="M264" s="35" t="str">
        <f aca="false">IF(H264="","",(L264-K264)/K264*10000)</f>
        <v/>
      </c>
      <c r="N264" s="34" t="str">
        <f aca="false">IF(H264="","",K264*IF(E264="업비트",운용규칙!$B$5,운용규칙!$B$6)+L264*IF(F264="업비트",운용규칙!$B$5,운용규칙!$B$6))</f>
        <v/>
      </c>
      <c r="O264" s="34" t="str">
        <f aca="false">IF(H264="","",L264-K264-N264)</f>
        <v/>
      </c>
      <c r="P264" s="35" t="str">
        <f aca="false">IF(H264="","",O264/K264*10000)</f>
        <v/>
      </c>
      <c r="Q264" s="35" t="str">
        <f aca="false">IF(OR(H264="",G264=""),"",G264-P264)</f>
        <v/>
      </c>
      <c r="R264" s="36" t="str">
        <f aca="false">IF(H264="","",IF(OR(G264&lt;운용규칙!$B$8,K264&gt;운용규칙!$B$7),"위반","OK"))</f>
        <v/>
      </c>
      <c r="S264" s="28"/>
    </row>
    <row r="265" customFormat="false" ht="15" hidden="false" customHeight="false" outlineLevel="0" collapsed="false">
      <c r="A265" s="28"/>
      <c r="B265" s="29"/>
      <c r="C265" s="30"/>
      <c r="D265" s="28"/>
      <c r="E265" s="28"/>
      <c r="F265" s="28"/>
      <c r="G265" s="31"/>
      <c r="H265" s="32"/>
      <c r="I265" s="33"/>
      <c r="J265" s="33"/>
      <c r="K265" s="34" t="str">
        <f aca="false">IF(H265="","",H265*I265)</f>
        <v/>
      </c>
      <c r="L265" s="34" t="str">
        <f aca="false">IF(H265="","",H265*J265)</f>
        <v/>
      </c>
      <c r="M265" s="35" t="str">
        <f aca="false">IF(H265="","",(L265-K265)/K265*10000)</f>
        <v/>
      </c>
      <c r="N265" s="34" t="str">
        <f aca="false">IF(H265="","",K265*IF(E265="업비트",운용규칙!$B$5,운용규칙!$B$6)+L265*IF(F265="업비트",운용규칙!$B$5,운용규칙!$B$6))</f>
        <v/>
      </c>
      <c r="O265" s="34" t="str">
        <f aca="false">IF(H265="","",L265-K265-N265)</f>
        <v/>
      </c>
      <c r="P265" s="35" t="str">
        <f aca="false">IF(H265="","",O265/K265*10000)</f>
        <v/>
      </c>
      <c r="Q265" s="35" t="str">
        <f aca="false">IF(OR(H265="",G265=""),"",G265-P265)</f>
        <v/>
      </c>
      <c r="R265" s="36" t="str">
        <f aca="false">IF(H265="","",IF(OR(G265&lt;운용규칙!$B$8,K265&gt;운용규칙!$B$7),"위반","OK"))</f>
        <v/>
      </c>
      <c r="S265" s="28"/>
    </row>
    <row r="266" customFormat="false" ht="15" hidden="false" customHeight="false" outlineLevel="0" collapsed="false">
      <c r="A266" s="28"/>
      <c r="B266" s="29"/>
      <c r="C266" s="30"/>
      <c r="D266" s="28"/>
      <c r="E266" s="28"/>
      <c r="F266" s="28"/>
      <c r="G266" s="31"/>
      <c r="H266" s="32"/>
      <c r="I266" s="33"/>
      <c r="J266" s="33"/>
      <c r="K266" s="34" t="str">
        <f aca="false">IF(H266="","",H266*I266)</f>
        <v/>
      </c>
      <c r="L266" s="34" t="str">
        <f aca="false">IF(H266="","",H266*J266)</f>
        <v/>
      </c>
      <c r="M266" s="35" t="str">
        <f aca="false">IF(H266="","",(L266-K266)/K266*10000)</f>
        <v/>
      </c>
      <c r="N266" s="34" t="str">
        <f aca="false">IF(H266="","",K266*IF(E266="업비트",운용규칙!$B$5,운용규칙!$B$6)+L266*IF(F266="업비트",운용규칙!$B$5,운용규칙!$B$6))</f>
        <v/>
      </c>
      <c r="O266" s="34" t="str">
        <f aca="false">IF(H266="","",L266-K266-N266)</f>
        <v/>
      </c>
      <c r="P266" s="35" t="str">
        <f aca="false">IF(H266="","",O266/K266*10000)</f>
        <v/>
      </c>
      <c r="Q266" s="35" t="str">
        <f aca="false">IF(OR(H266="",G266=""),"",G266-P266)</f>
        <v/>
      </c>
      <c r="R266" s="36" t="str">
        <f aca="false">IF(H266="","",IF(OR(G266&lt;운용규칙!$B$8,K266&gt;운용규칙!$B$7),"위반","OK"))</f>
        <v/>
      </c>
      <c r="S266" s="28"/>
    </row>
    <row r="267" customFormat="false" ht="15" hidden="false" customHeight="false" outlineLevel="0" collapsed="false">
      <c r="A267" s="28"/>
      <c r="B267" s="29"/>
      <c r="C267" s="30"/>
      <c r="D267" s="28"/>
      <c r="E267" s="28"/>
      <c r="F267" s="28"/>
      <c r="G267" s="31"/>
      <c r="H267" s="32"/>
      <c r="I267" s="33"/>
      <c r="J267" s="33"/>
      <c r="K267" s="34" t="str">
        <f aca="false">IF(H267="","",H267*I267)</f>
        <v/>
      </c>
      <c r="L267" s="34" t="str">
        <f aca="false">IF(H267="","",H267*J267)</f>
        <v/>
      </c>
      <c r="M267" s="35" t="str">
        <f aca="false">IF(H267="","",(L267-K267)/K267*10000)</f>
        <v/>
      </c>
      <c r="N267" s="34" t="str">
        <f aca="false">IF(H267="","",K267*IF(E267="업비트",운용규칙!$B$5,운용규칙!$B$6)+L267*IF(F267="업비트",운용규칙!$B$5,운용규칙!$B$6))</f>
        <v/>
      </c>
      <c r="O267" s="34" t="str">
        <f aca="false">IF(H267="","",L267-K267-N267)</f>
        <v/>
      </c>
      <c r="P267" s="35" t="str">
        <f aca="false">IF(H267="","",O267/K267*10000)</f>
        <v/>
      </c>
      <c r="Q267" s="35" t="str">
        <f aca="false">IF(OR(H267="",G267=""),"",G267-P267)</f>
        <v/>
      </c>
      <c r="R267" s="36" t="str">
        <f aca="false">IF(H267="","",IF(OR(G267&lt;운용규칙!$B$8,K267&gt;운용규칙!$B$7),"위반","OK"))</f>
        <v/>
      </c>
      <c r="S267" s="28"/>
    </row>
    <row r="268" customFormat="false" ht="15" hidden="false" customHeight="false" outlineLevel="0" collapsed="false">
      <c r="A268" s="28"/>
      <c r="B268" s="29"/>
      <c r="C268" s="30"/>
      <c r="D268" s="28"/>
      <c r="E268" s="28"/>
      <c r="F268" s="28"/>
      <c r="G268" s="31"/>
      <c r="H268" s="32"/>
      <c r="I268" s="33"/>
      <c r="J268" s="33"/>
      <c r="K268" s="34" t="str">
        <f aca="false">IF(H268="","",H268*I268)</f>
        <v/>
      </c>
      <c r="L268" s="34" t="str">
        <f aca="false">IF(H268="","",H268*J268)</f>
        <v/>
      </c>
      <c r="M268" s="35" t="str">
        <f aca="false">IF(H268="","",(L268-K268)/K268*10000)</f>
        <v/>
      </c>
      <c r="N268" s="34" t="str">
        <f aca="false">IF(H268="","",K268*IF(E268="업비트",운용규칙!$B$5,운용규칙!$B$6)+L268*IF(F268="업비트",운용규칙!$B$5,운용규칙!$B$6))</f>
        <v/>
      </c>
      <c r="O268" s="34" t="str">
        <f aca="false">IF(H268="","",L268-K268-N268)</f>
        <v/>
      </c>
      <c r="P268" s="35" t="str">
        <f aca="false">IF(H268="","",O268/K268*10000)</f>
        <v/>
      </c>
      <c r="Q268" s="35" t="str">
        <f aca="false">IF(OR(H268="",G268=""),"",G268-P268)</f>
        <v/>
      </c>
      <c r="R268" s="36" t="str">
        <f aca="false">IF(H268="","",IF(OR(G268&lt;운용규칙!$B$8,K268&gt;운용규칙!$B$7),"위반","OK"))</f>
        <v/>
      </c>
      <c r="S268" s="28"/>
    </row>
    <row r="269" customFormat="false" ht="15" hidden="false" customHeight="false" outlineLevel="0" collapsed="false">
      <c r="A269" s="28"/>
      <c r="B269" s="29"/>
      <c r="C269" s="30"/>
      <c r="D269" s="28"/>
      <c r="E269" s="28"/>
      <c r="F269" s="28"/>
      <c r="G269" s="31"/>
      <c r="H269" s="32"/>
      <c r="I269" s="33"/>
      <c r="J269" s="33"/>
      <c r="K269" s="34" t="str">
        <f aca="false">IF(H269="","",H269*I269)</f>
        <v/>
      </c>
      <c r="L269" s="34" t="str">
        <f aca="false">IF(H269="","",H269*J269)</f>
        <v/>
      </c>
      <c r="M269" s="35" t="str">
        <f aca="false">IF(H269="","",(L269-K269)/K269*10000)</f>
        <v/>
      </c>
      <c r="N269" s="34" t="str">
        <f aca="false">IF(H269="","",K269*IF(E269="업비트",운용규칙!$B$5,운용규칙!$B$6)+L269*IF(F269="업비트",운용규칙!$B$5,운용규칙!$B$6))</f>
        <v/>
      </c>
      <c r="O269" s="34" t="str">
        <f aca="false">IF(H269="","",L269-K269-N269)</f>
        <v/>
      </c>
      <c r="P269" s="35" t="str">
        <f aca="false">IF(H269="","",O269/K269*10000)</f>
        <v/>
      </c>
      <c r="Q269" s="35" t="str">
        <f aca="false">IF(OR(H269="",G269=""),"",G269-P269)</f>
        <v/>
      </c>
      <c r="R269" s="36" t="str">
        <f aca="false">IF(H269="","",IF(OR(G269&lt;운용규칙!$B$8,K269&gt;운용규칙!$B$7),"위반","OK"))</f>
        <v/>
      </c>
      <c r="S269" s="28"/>
    </row>
    <row r="270" customFormat="false" ht="15" hidden="false" customHeight="false" outlineLevel="0" collapsed="false">
      <c r="A270" s="28"/>
      <c r="B270" s="29"/>
      <c r="C270" s="30"/>
      <c r="D270" s="28"/>
      <c r="E270" s="28"/>
      <c r="F270" s="28"/>
      <c r="G270" s="31"/>
      <c r="H270" s="32"/>
      <c r="I270" s="33"/>
      <c r="J270" s="33"/>
      <c r="K270" s="34" t="str">
        <f aca="false">IF(H270="","",H270*I270)</f>
        <v/>
      </c>
      <c r="L270" s="34" t="str">
        <f aca="false">IF(H270="","",H270*J270)</f>
        <v/>
      </c>
      <c r="M270" s="35" t="str">
        <f aca="false">IF(H270="","",(L270-K270)/K270*10000)</f>
        <v/>
      </c>
      <c r="N270" s="34" t="str">
        <f aca="false">IF(H270="","",K270*IF(E270="업비트",운용규칙!$B$5,운용규칙!$B$6)+L270*IF(F270="업비트",운용규칙!$B$5,운용규칙!$B$6))</f>
        <v/>
      </c>
      <c r="O270" s="34" t="str">
        <f aca="false">IF(H270="","",L270-K270-N270)</f>
        <v/>
      </c>
      <c r="P270" s="35" t="str">
        <f aca="false">IF(H270="","",O270/K270*10000)</f>
        <v/>
      </c>
      <c r="Q270" s="35" t="str">
        <f aca="false">IF(OR(H270="",G270=""),"",G270-P270)</f>
        <v/>
      </c>
      <c r="R270" s="36" t="str">
        <f aca="false">IF(H270="","",IF(OR(G270&lt;운용규칙!$B$8,K270&gt;운용규칙!$B$7),"위반","OK"))</f>
        <v/>
      </c>
      <c r="S270" s="28"/>
    </row>
    <row r="271" customFormat="false" ht="15" hidden="false" customHeight="false" outlineLevel="0" collapsed="false">
      <c r="A271" s="28"/>
      <c r="B271" s="29"/>
      <c r="C271" s="30"/>
      <c r="D271" s="28"/>
      <c r="E271" s="28"/>
      <c r="F271" s="28"/>
      <c r="G271" s="31"/>
      <c r="H271" s="32"/>
      <c r="I271" s="33"/>
      <c r="J271" s="33"/>
      <c r="K271" s="34" t="str">
        <f aca="false">IF(H271="","",H271*I271)</f>
        <v/>
      </c>
      <c r="L271" s="34" t="str">
        <f aca="false">IF(H271="","",H271*J271)</f>
        <v/>
      </c>
      <c r="M271" s="35" t="str">
        <f aca="false">IF(H271="","",(L271-K271)/K271*10000)</f>
        <v/>
      </c>
      <c r="N271" s="34" t="str">
        <f aca="false">IF(H271="","",K271*IF(E271="업비트",운용규칙!$B$5,운용규칙!$B$6)+L271*IF(F271="업비트",운용규칙!$B$5,운용규칙!$B$6))</f>
        <v/>
      </c>
      <c r="O271" s="34" t="str">
        <f aca="false">IF(H271="","",L271-K271-N271)</f>
        <v/>
      </c>
      <c r="P271" s="35" t="str">
        <f aca="false">IF(H271="","",O271/K271*10000)</f>
        <v/>
      </c>
      <c r="Q271" s="35" t="str">
        <f aca="false">IF(OR(H271="",G271=""),"",G271-P271)</f>
        <v/>
      </c>
      <c r="R271" s="36" t="str">
        <f aca="false">IF(H271="","",IF(OR(G271&lt;운용규칙!$B$8,K271&gt;운용규칙!$B$7),"위반","OK"))</f>
        <v/>
      </c>
      <c r="S271" s="28"/>
    </row>
    <row r="272" customFormat="false" ht="15" hidden="false" customHeight="false" outlineLevel="0" collapsed="false">
      <c r="A272" s="28"/>
      <c r="B272" s="29"/>
      <c r="C272" s="30"/>
      <c r="D272" s="28"/>
      <c r="E272" s="28"/>
      <c r="F272" s="28"/>
      <c r="G272" s="31"/>
      <c r="H272" s="32"/>
      <c r="I272" s="33"/>
      <c r="J272" s="33"/>
      <c r="K272" s="34" t="str">
        <f aca="false">IF(H272="","",H272*I272)</f>
        <v/>
      </c>
      <c r="L272" s="34" t="str">
        <f aca="false">IF(H272="","",H272*J272)</f>
        <v/>
      </c>
      <c r="M272" s="35" t="str">
        <f aca="false">IF(H272="","",(L272-K272)/K272*10000)</f>
        <v/>
      </c>
      <c r="N272" s="34" t="str">
        <f aca="false">IF(H272="","",K272*IF(E272="업비트",운용규칙!$B$5,운용규칙!$B$6)+L272*IF(F272="업비트",운용규칙!$B$5,운용규칙!$B$6))</f>
        <v/>
      </c>
      <c r="O272" s="34" t="str">
        <f aca="false">IF(H272="","",L272-K272-N272)</f>
        <v/>
      </c>
      <c r="P272" s="35" t="str">
        <f aca="false">IF(H272="","",O272/K272*10000)</f>
        <v/>
      </c>
      <c r="Q272" s="35" t="str">
        <f aca="false">IF(OR(H272="",G272=""),"",G272-P272)</f>
        <v/>
      </c>
      <c r="R272" s="36" t="str">
        <f aca="false">IF(H272="","",IF(OR(G272&lt;운용규칙!$B$8,K272&gt;운용규칙!$B$7),"위반","OK"))</f>
        <v/>
      </c>
      <c r="S272" s="28"/>
    </row>
    <row r="273" customFormat="false" ht="15" hidden="false" customHeight="false" outlineLevel="0" collapsed="false">
      <c r="A273" s="28"/>
      <c r="B273" s="29"/>
      <c r="C273" s="30"/>
      <c r="D273" s="28"/>
      <c r="E273" s="28"/>
      <c r="F273" s="28"/>
      <c r="G273" s="31"/>
      <c r="H273" s="32"/>
      <c r="I273" s="33"/>
      <c r="J273" s="33"/>
      <c r="K273" s="34" t="str">
        <f aca="false">IF(H273="","",H273*I273)</f>
        <v/>
      </c>
      <c r="L273" s="34" t="str">
        <f aca="false">IF(H273="","",H273*J273)</f>
        <v/>
      </c>
      <c r="M273" s="35" t="str">
        <f aca="false">IF(H273="","",(L273-K273)/K273*10000)</f>
        <v/>
      </c>
      <c r="N273" s="34" t="str">
        <f aca="false">IF(H273="","",K273*IF(E273="업비트",운용규칙!$B$5,운용규칙!$B$6)+L273*IF(F273="업비트",운용규칙!$B$5,운용규칙!$B$6))</f>
        <v/>
      </c>
      <c r="O273" s="34" t="str">
        <f aca="false">IF(H273="","",L273-K273-N273)</f>
        <v/>
      </c>
      <c r="P273" s="35" t="str">
        <f aca="false">IF(H273="","",O273/K273*10000)</f>
        <v/>
      </c>
      <c r="Q273" s="35" t="str">
        <f aca="false">IF(OR(H273="",G273=""),"",G273-P273)</f>
        <v/>
      </c>
      <c r="R273" s="36" t="str">
        <f aca="false">IF(H273="","",IF(OR(G273&lt;운용규칙!$B$8,K273&gt;운용규칙!$B$7),"위반","OK"))</f>
        <v/>
      </c>
      <c r="S273" s="28"/>
    </row>
    <row r="274" customFormat="false" ht="15" hidden="false" customHeight="false" outlineLevel="0" collapsed="false">
      <c r="A274" s="28"/>
      <c r="B274" s="29"/>
      <c r="C274" s="30"/>
      <c r="D274" s="28"/>
      <c r="E274" s="28"/>
      <c r="F274" s="28"/>
      <c r="G274" s="31"/>
      <c r="H274" s="32"/>
      <c r="I274" s="33"/>
      <c r="J274" s="33"/>
      <c r="K274" s="34" t="str">
        <f aca="false">IF(H274="","",H274*I274)</f>
        <v/>
      </c>
      <c r="L274" s="34" t="str">
        <f aca="false">IF(H274="","",H274*J274)</f>
        <v/>
      </c>
      <c r="M274" s="35" t="str">
        <f aca="false">IF(H274="","",(L274-K274)/K274*10000)</f>
        <v/>
      </c>
      <c r="N274" s="34" t="str">
        <f aca="false">IF(H274="","",K274*IF(E274="업비트",운용규칙!$B$5,운용규칙!$B$6)+L274*IF(F274="업비트",운용규칙!$B$5,운용규칙!$B$6))</f>
        <v/>
      </c>
      <c r="O274" s="34" t="str">
        <f aca="false">IF(H274="","",L274-K274-N274)</f>
        <v/>
      </c>
      <c r="P274" s="35" t="str">
        <f aca="false">IF(H274="","",O274/K274*10000)</f>
        <v/>
      </c>
      <c r="Q274" s="35" t="str">
        <f aca="false">IF(OR(H274="",G274=""),"",G274-P274)</f>
        <v/>
      </c>
      <c r="R274" s="36" t="str">
        <f aca="false">IF(H274="","",IF(OR(G274&lt;운용규칙!$B$8,K274&gt;운용규칙!$B$7),"위반","OK"))</f>
        <v/>
      </c>
      <c r="S274" s="28"/>
    </row>
    <row r="275" customFormat="false" ht="15" hidden="false" customHeight="false" outlineLevel="0" collapsed="false">
      <c r="A275" s="28"/>
      <c r="B275" s="29"/>
      <c r="C275" s="30"/>
      <c r="D275" s="28"/>
      <c r="E275" s="28"/>
      <c r="F275" s="28"/>
      <c r="G275" s="31"/>
      <c r="H275" s="32"/>
      <c r="I275" s="33"/>
      <c r="J275" s="33"/>
      <c r="K275" s="34" t="str">
        <f aca="false">IF(H275="","",H275*I275)</f>
        <v/>
      </c>
      <c r="L275" s="34" t="str">
        <f aca="false">IF(H275="","",H275*J275)</f>
        <v/>
      </c>
      <c r="M275" s="35" t="str">
        <f aca="false">IF(H275="","",(L275-K275)/K275*10000)</f>
        <v/>
      </c>
      <c r="N275" s="34" t="str">
        <f aca="false">IF(H275="","",K275*IF(E275="업비트",운용규칙!$B$5,운용규칙!$B$6)+L275*IF(F275="업비트",운용규칙!$B$5,운용규칙!$B$6))</f>
        <v/>
      </c>
      <c r="O275" s="34" t="str">
        <f aca="false">IF(H275="","",L275-K275-N275)</f>
        <v/>
      </c>
      <c r="P275" s="35" t="str">
        <f aca="false">IF(H275="","",O275/K275*10000)</f>
        <v/>
      </c>
      <c r="Q275" s="35" t="str">
        <f aca="false">IF(OR(H275="",G275=""),"",G275-P275)</f>
        <v/>
      </c>
      <c r="R275" s="36" t="str">
        <f aca="false">IF(H275="","",IF(OR(G275&lt;운용규칙!$B$8,K275&gt;운용규칙!$B$7),"위반","OK"))</f>
        <v/>
      </c>
      <c r="S275" s="28"/>
    </row>
    <row r="276" customFormat="false" ht="15" hidden="false" customHeight="false" outlineLevel="0" collapsed="false">
      <c r="A276" s="28"/>
      <c r="B276" s="29"/>
      <c r="C276" s="30"/>
      <c r="D276" s="28"/>
      <c r="E276" s="28"/>
      <c r="F276" s="28"/>
      <c r="G276" s="31"/>
      <c r="H276" s="32"/>
      <c r="I276" s="33"/>
      <c r="J276" s="33"/>
      <c r="K276" s="34" t="str">
        <f aca="false">IF(H276="","",H276*I276)</f>
        <v/>
      </c>
      <c r="L276" s="34" t="str">
        <f aca="false">IF(H276="","",H276*J276)</f>
        <v/>
      </c>
      <c r="M276" s="35" t="str">
        <f aca="false">IF(H276="","",(L276-K276)/K276*10000)</f>
        <v/>
      </c>
      <c r="N276" s="34" t="str">
        <f aca="false">IF(H276="","",K276*IF(E276="업비트",운용규칙!$B$5,운용규칙!$B$6)+L276*IF(F276="업비트",운용규칙!$B$5,운용규칙!$B$6))</f>
        <v/>
      </c>
      <c r="O276" s="34" t="str">
        <f aca="false">IF(H276="","",L276-K276-N276)</f>
        <v/>
      </c>
      <c r="P276" s="35" t="str">
        <f aca="false">IF(H276="","",O276/K276*10000)</f>
        <v/>
      </c>
      <c r="Q276" s="35" t="str">
        <f aca="false">IF(OR(H276="",G276=""),"",G276-P276)</f>
        <v/>
      </c>
      <c r="R276" s="36" t="str">
        <f aca="false">IF(H276="","",IF(OR(G276&lt;운용규칙!$B$8,K276&gt;운용규칙!$B$7),"위반","OK"))</f>
        <v/>
      </c>
      <c r="S276" s="28"/>
    </row>
    <row r="277" customFormat="false" ht="15" hidden="false" customHeight="false" outlineLevel="0" collapsed="false">
      <c r="A277" s="28"/>
      <c r="B277" s="29"/>
      <c r="C277" s="30"/>
      <c r="D277" s="28"/>
      <c r="E277" s="28"/>
      <c r="F277" s="28"/>
      <c r="G277" s="31"/>
      <c r="H277" s="32"/>
      <c r="I277" s="33"/>
      <c r="J277" s="33"/>
      <c r="K277" s="34" t="str">
        <f aca="false">IF(H277="","",H277*I277)</f>
        <v/>
      </c>
      <c r="L277" s="34" t="str">
        <f aca="false">IF(H277="","",H277*J277)</f>
        <v/>
      </c>
      <c r="M277" s="35" t="str">
        <f aca="false">IF(H277="","",(L277-K277)/K277*10000)</f>
        <v/>
      </c>
      <c r="N277" s="34" t="str">
        <f aca="false">IF(H277="","",K277*IF(E277="업비트",운용규칙!$B$5,운용규칙!$B$6)+L277*IF(F277="업비트",운용규칙!$B$5,운용규칙!$B$6))</f>
        <v/>
      </c>
      <c r="O277" s="34" t="str">
        <f aca="false">IF(H277="","",L277-K277-N277)</f>
        <v/>
      </c>
      <c r="P277" s="35" t="str">
        <f aca="false">IF(H277="","",O277/K277*10000)</f>
        <v/>
      </c>
      <c r="Q277" s="35" t="str">
        <f aca="false">IF(OR(H277="",G277=""),"",G277-P277)</f>
        <v/>
      </c>
      <c r="R277" s="36" t="str">
        <f aca="false">IF(H277="","",IF(OR(G277&lt;운용규칙!$B$8,K277&gt;운용규칙!$B$7),"위반","OK"))</f>
        <v/>
      </c>
      <c r="S277" s="28"/>
    </row>
    <row r="278" customFormat="false" ht="15" hidden="false" customHeight="false" outlineLevel="0" collapsed="false">
      <c r="A278" s="28"/>
      <c r="B278" s="29"/>
      <c r="C278" s="30"/>
      <c r="D278" s="28"/>
      <c r="E278" s="28"/>
      <c r="F278" s="28"/>
      <c r="G278" s="31"/>
      <c r="H278" s="32"/>
      <c r="I278" s="33"/>
      <c r="J278" s="33"/>
      <c r="K278" s="34" t="str">
        <f aca="false">IF(H278="","",H278*I278)</f>
        <v/>
      </c>
      <c r="L278" s="34" t="str">
        <f aca="false">IF(H278="","",H278*J278)</f>
        <v/>
      </c>
      <c r="M278" s="35" t="str">
        <f aca="false">IF(H278="","",(L278-K278)/K278*10000)</f>
        <v/>
      </c>
      <c r="N278" s="34" t="str">
        <f aca="false">IF(H278="","",K278*IF(E278="업비트",운용규칙!$B$5,운용규칙!$B$6)+L278*IF(F278="업비트",운용규칙!$B$5,운용규칙!$B$6))</f>
        <v/>
      </c>
      <c r="O278" s="34" t="str">
        <f aca="false">IF(H278="","",L278-K278-N278)</f>
        <v/>
      </c>
      <c r="P278" s="35" t="str">
        <f aca="false">IF(H278="","",O278/K278*10000)</f>
        <v/>
      </c>
      <c r="Q278" s="35" t="str">
        <f aca="false">IF(OR(H278="",G278=""),"",G278-P278)</f>
        <v/>
      </c>
      <c r="R278" s="36" t="str">
        <f aca="false">IF(H278="","",IF(OR(G278&lt;운용규칙!$B$8,K278&gt;운용규칙!$B$7),"위반","OK"))</f>
        <v/>
      </c>
      <c r="S278" s="28"/>
    </row>
    <row r="279" customFormat="false" ht="15" hidden="false" customHeight="false" outlineLevel="0" collapsed="false">
      <c r="A279" s="28"/>
      <c r="B279" s="29"/>
      <c r="C279" s="30"/>
      <c r="D279" s="28"/>
      <c r="E279" s="28"/>
      <c r="F279" s="28"/>
      <c r="G279" s="31"/>
      <c r="H279" s="32"/>
      <c r="I279" s="33"/>
      <c r="J279" s="33"/>
      <c r="K279" s="34" t="str">
        <f aca="false">IF(H279="","",H279*I279)</f>
        <v/>
      </c>
      <c r="L279" s="34" t="str">
        <f aca="false">IF(H279="","",H279*J279)</f>
        <v/>
      </c>
      <c r="M279" s="35" t="str">
        <f aca="false">IF(H279="","",(L279-K279)/K279*10000)</f>
        <v/>
      </c>
      <c r="N279" s="34" t="str">
        <f aca="false">IF(H279="","",K279*IF(E279="업비트",운용규칙!$B$5,운용규칙!$B$6)+L279*IF(F279="업비트",운용규칙!$B$5,운용규칙!$B$6))</f>
        <v/>
      </c>
      <c r="O279" s="34" t="str">
        <f aca="false">IF(H279="","",L279-K279-N279)</f>
        <v/>
      </c>
      <c r="P279" s="35" t="str">
        <f aca="false">IF(H279="","",O279/K279*10000)</f>
        <v/>
      </c>
      <c r="Q279" s="35" t="str">
        <f aca="false">IF(OR(H279="",G279=""),"",G279-P279)</f>
        <v/>
      </c>
      <c r="R279" s="36" t="str">
        <f aca="false">IF(H279="","",IF(OR(G279&lt;운용규칙!$B$8,K279&gt;운용규칙!$B$7),"위반","OK"))</f>
        <v/>
      </c>
      <c r="S279" s="28"/>
    </row>
    <row r="280" customFormat="false" ht="15" hidden="false" customHeight="false" outlineLevel="0" collapsed="false">
      <c r="A280" s="28"/>
      <c r="B280" s="29"/>
      <c r="C280" s="30"/>
      <c r="D280" s="28"/>
      <c r="E280" s="28"/>
      <c r="F280" s="28"/>
      <c r="G280" s="31"/>
      <c r="H280" s="32"/>
      <c r="I280" s="33"/>
      <c r="J280" s="33"/>
      <c r="K280" s="34" t="str">
        <f aca="false">IF(H280="","",H280*I280)</f>
        <v/>
      </c>
      <c r="L280" s="34" t="str">
        <f aca="false">IF(H280="","",H280*J280)</f>
        <v/>
      </c>
      <c r="M280" s="35" t="str">
        <f aca="false">IF(H280="","",(L280-K280)/K280*10000)</f>
        <v/>
      </c>
      <c r="N280" s="34" t="str">
        <f aca="false">IF(H280="","",K280*IF(E280="업비트",운용규칙!$B$5,운용규칙!$B$6)+L280*IF(F280="업비트",운용규칙!$B$5,운용규칙!$B$6))</f>
        <v/>
      </c>
      <c r="O280" s="34" t="str">
        <f aca="false">IF(H280="","",L280-K280-N280)</f>
        <v/>
      </c>
      <c r="P280" s="35" t="str">
        <f aca="false">IF(H280="","",O280/K280*10000)</f>
        <v/>
      </c>
      <c r="Q280" s="35" t="str">
        <f aca="false">IF(OR(H280="",G280=""),"",G280-P280)</f>
        <v/>
      </c>
      <c r="R280" s="36" t="str">
        <f aca="false">IF(H280="","",IF(OR(G280&lt;운용규칙!$B$8,K280&gt;운용규칙!$B$7),"위반","OK"))</f>
        <v/>
      </c>
      <c r="S280" s="28"/>
    </row>
    <row r="281" customFormat="false" ht="15" hidden="false" customHeight="false" outlineLevel="0" collapsed="false">
      <c r="A281" s="28"/>
      <c r="B281" s="29"/>
      <c r="C281" s="30"/>
      <c r="D281" s="28"/>
      <c r="E281" s="28"/>
      <c r="F281" s="28"/>
      <c r="G281" s="31"/>
      <c r="H281" s="32"/>
      <c r="I281" s="33"/>
      <c r="J281" s="33"/>
      <c r="K281" s="34" t="str">
        <f aca="false">IF(H281="","",H281*I281)</f>
        <v/>
      </c>
      <c r="L281" s="34" t="str">
        <f aca="false">IF(H281="","",H281*J281)</f>
        <v/>
      </c>
      <c r="M281" s="35" t="str">
        <f aca="false">IF(H281="","",(L281-K281)/K281*10000)</f>
        <v/>
      </c>
      <c r="N281" s="34" t="str">
        <f aca="false">IF(H281="","",K281*IF(E281="업비트",운용규칙!$B$5,운용규칙!$B$6)+L281*IF(F281="업비트",운용규칙!$B$5,운용규칙!$B$6))</f>
        <v/>
      </c>
      <c r="O281" s="34" t="str">
        <f aca="false">IF(H281="","",L281-K281-N281)</f>
        <v/>
      </c>
      <c r="P281" s="35" t="str">
        <f aca="false">IF(H281="","",O281/K281*10000)</f>
        <v/>
      </c>
      <c r="Q281" s="35" t="str">
        <f aca="false">IF(OR(H281="",G281=""),"",G281-P281)</f>
        <v/>
      </c>
      <c r="R281" s="36" t="str">
        <f aca="false">IF(H281="","",IF(OR(G281&lt;운용규칙!$B$8,K281&gt;운용규칙!$B$7),"위반","OK"))</f>
        <v/>
      </c>
      <c r="S281" s="28"/>
    </row>
    <row r="282" customFormat="false" ht="15" hidden="false" customHeight="false" outlineLevel="0" collapsed="false">
      <c r="A282" s="28"/>
      <c r="B282" s="29"/>
      <c r="C282" s="30"/>
      <c r="D282" s="28"/>
      <c r="E282" s="28"/>
      <c r="F282" s="28"/>
      <c r="G282" s="31"/>
      <c r="H282" s="32"/>
      <c r="I282" s="33"/>
      <c r="J282" s="33"/>
      <c r="K282" s="34" t="str">
        <f aca="false">IF(H282="","",H282*I282)</f>
        <v/>
      </c>
      <c r="L282" s="34" t="str">
        <f aca="false">IF(H282="","",H282*J282)</f>
        <v/>
      </c>
      <c r="M282" s="35" t="str">
        <f aca="false">IF(H282="","",(L282-K282)/K282*10000)</f>
        <v/>
      </c>
      <c r="N282" s="34" t="str">
        <f aca="false">IF(H282="","",K282*IF(E282="업비트",운용규칙!$B$5,운용규칙!$B$6)+L282*IF(F282="업비트",운용규칙!$B$5,운용규칙!$B$6))</f>
        <v/>
      </c>
      <c r="O282" s="34" t="str">
        <f aca="false">IF(H282="","",L282-K282-N282)</f>
        <v/>
      </c>
      <c r="P282" s="35" t="str">
        <f aca="false">IF(H282="","",O282/K282*10000)</f>
        <v/>
      </c>
      <c r="Q282" s="35" t="str">
        <f aca="false">IF(OR(H282="",G282=""),"",G282-P282)</f>
        <v/>
      </c>
      <c r="R282" s="36" t="str">
        <f aca="false">IF(H282="","",IF(OR(G282&lt;운용규칙!$B$8,K282&gt;운용규칙!$B$7),"위반","OK"))</f>
        <v/>
      </c>
      <c r="S282" s="28"/>
    </row>
    <row r="283" customFormat="false" ht="15" hidden="false" customHeight="false" outlineLevel="0" collapsed="false">
      <c r="A283" s="28"/>
      <c r="B283" s="29"/>
      <c r="C283" s="30"/>
      <c r="D283" s="28"/>
      <c r="E283" s="28"/>
      <c r="F283" s="28"/>
      <c r="G283" s="31"/>
      <c r="H283" s="32"/>
      <c r="I283" s="33"/>
      <c r="J283" s="33"/>
      <c r="K283" s="34" t="str">
        <f aca="false">IF(H283="","",H283*I283)</f>
        <v/>
      </c>
      <c r="L283" s="34" t="str">
        <f aca="false">IF(H283="","",H283*J283)</f>
        <v/>
      </c>
      <c r="M283" s="35" t="str">
        <f aca="false">IF(H283="","",(L283-K283)/K283*10000)</f>
        <v/>
      </c>
      <c r="N283" s="34" t="str">
        <f aca="false">IF(H283="","",K283*IF(E283="업비트",운용규칙!$B$5,운용규칙!$B$6)+L283*IF(F283="업비트",운용규칙!$B$5,운용규칙!$B$6))</f>
        <v/>
      </c>
      <c r="O283" s="34" t="str">
        <f aca="false">IF(H283="","",L283-K283-N283)</f>
        <v/>
      </c>
      <c r="P283" s="35" t="str">
        <f aca="false">IF(H283="","",O283/K283*10000)</f>
        <v/>
      </c>
      <c r="Q283" s="35" t="str">
        <f aca="false">IF(OR(H283="",G283=""),"",G283-P283)</f>
        <v/>
      </c>
      <c r="R283" s="36" t="str">
        <f aca="false">IF(H283="","",IF(OR(G283&lt;운용규칙!$B$8,K283&gt;운용규칙!$B$7),"위반","OK"))</f>
        <v/>
      </c>
      <c r="S283" s="28"/>
    </row>
    <row r="284" customFormat="false" ht="15" hidden="false" customHeight="false" outlineLevel="0" collapsed="false">
      <c r="A284" s="28"/>
      <c r="B284" s="29"/>
      <c r="C284" s="30"/>
      <c r="D284" s="28"/>
      <c r="E284" s="28"/>
      <c r="F284" s="28"/>
      <c r="G284" s="31"/>
      <c r="H284" s="32"/>
      <c r="I284" s="33"/>
      <c r="J284" s="33"/>
      <c r="K284" s="34" t="str">
        <f aca="false">IF(H284="","",H284*I284)</f>
        <v/>
      </c>
      <c r="L284" s="34" t="str">
        <f aca="false">IF(H284="","",H284*J284)</f>
        <v/>
      </c>
      <c r="M284" s="35" t="str">
        <f aca="false">IF(H284="","",(L284-K284)/K284*10000)</f>
        <v/>
      </c>
      <c r="N284" s="34" t="str">
        <f aca="false">IF(H284="","",K284*IF(E284="업비트",운용규칙!$B$5,운용규칙!$B$6)+L284*IF(F284="업비트",운용규칙!$B$5,운용규칙!$B$6))</f>
        <v/>
      </c>
      <c r="O284" s="34" t="str">
        <f aca="false">IF(H284="","",L284-K284-N284)</f>
        <v/>
      </c>
      <c r="P284" s="35" t="str">
        <f aca="false">IF(H284="","",O284/K284*10000)</f>
        <v/>
      </c>
      <c r="Q284" s="35" t="str">
        <f aca="false">IF(OR(H284="",G284=""),"",G284-P284)</f>
        <v/>
      </c>
      <c r="R284" s="36" t="str">
        <f aca="false">IF(H284="","",IF(OR(G284&lt;운용규칙!$B$8,K284&gt;운용규칙!$B$7),"위반","OK"))</f>
        <v/>
      </c>
      <c r="S284" s="28"/>
    </row>
    <row r="285" customFormat="false" ht="15" hidden="false" customHeight="false" outlineLevel="0" collapsed="false">
      <c r="A285" s="28"/>
      <c r="B285" s="29"/>
      <c r="C285" s="30"/>
      <c r="D285" s="28"/>
      <c r="E285" s="28"/>
      <c r="F285" s="28"/>
      <c r="G285" s="31"/>
      <c r="H285" s="32"/>
      <c r="I285" s="33"/>
      <c r="J285" s="33"/>
      <c r="K285" s="34" t="str">
        <f aca="false">IF(H285="","",H285*I285)</f>
        <v/>
      </c>
      <c r="L285" s="34" t="str">
        <f aca="false">IF(H285="","",H285*J285)</f>
        <v/>
      </c>
      <c r="M285" s="35" t="str">
        <f aca="false">IF(H285="","",(L285-K285)/K285*10000)</f>
        <v/>
      </c>
      <c r="N285" s="34" t="str">
        <f aca="false">IF(H285="","",K285*IF(E285="업비트",운용규칙!$B$5,운용규칙!$B$6)+L285*IF(F285="업비트",운용규칙!$B$5,운용규칙!$B$6))</f>
        <v/>
      </c>
      <c r="O285" s="34" t="str">
        <f aca="false">IF(H285="","",L285-K285-N285)</f>
        <v/>
      </c>
      <c r="P285" s="35" t="str">
        <f aca="false">IF(H285="","",O285/K285*10000)</f>
        <v/>
      </c>
      <c r="Q285" s="35" t="str">
        <f aca="false">IF(OR(H285="",G285=""),"",G285-P285)</f>
        <v/>
      </c>
      <c r="R285" s="36" t="str">
        <f aca="false">IF(H285="","",IF(OR(G285&lt;운용규칙!$B$8,K285&gt;운용규칙!$B$7),"위반","OK"))</f>
        <v/>
      </c>
      <c r="S285" s="28"/>
    </row>
    <row r="286" customFormat="false" ht="15" hidden="false" customHeight="false" outlineLevel="0" collapsed="false">
      <c r="A286" s="28"/>
      <c r="B286" s="29"/>
      <c r="C286" s="30"/>
      <c r="D286" s="28"/>
      <c r="E286" s="28"/>
      <c r="F286" s="28"/>
      <c r="G286" s="31"/>
      <c r="H286" s="32"/>
      <c r="I286" s="33"/>
      <c r="J286" s="33"/>
      <c r="K286" s="34" t="str">
        <f aca="false">IF(H286="","",H286*I286)</f>
        <v/>
      </c>
      <c r="L286" s="34" t="str">
        <f aca="false">IF(H286="","",H286*J286)</f>
        <v/>
      </c>
      <c r="M286" s="35" t="str">
        <f aca="false">IF(H286="","",(L286-K286)/K286*10000)</f>
        <v/>
      </c>
      <c r="N286" s="34" t="str">
        <f aca="false">IF(H286="","",K286*IF(E286="업비트",운용규칙!$B$5,운용규칙!$B$6)+L286*IF(F286="업비트",운용규칙!$B$5,운용규칙!$B$6))</f>
        <v/>
      </c>
      <c r="O286" s="34" t="str">
        <f aca="false">IF(H286="","",L286-K286-N286)</f>
        <v/>
      </c>
      <c r="P286" s="35" t="str">
        <f aca="false">IF(H286="","",O286/K286*10000)</f>
        <v/>
      </c>
      <c r="Q286" s="35" t="str">
        <f aca="false">IF(OR(H286="",G286=""),"",G286-P286)</f>
        <v/>
      </c>
      <c r="R286" s="36" t="str">
        <f aca="false">IF(H286="","",IF(OR(G286&lt;운용규칙!$B$8,K286&gt;운용규칙!$B$7),"위반","OK"))</f>
        <v/>
      </c>
      <c r="S286" s="28"/>
    </row>
    <row r="287" customFormat="false" ht="15" hidden="false" customHeight="false" outlineLevel="0" collapsed="false">
      <c r="A287" s="28"/>
      <c r="B287" s="29"/>
      <c r="C287" s="30"/>
      <c r="D287" s="28"/>
      <c r="E287" s="28"/>
      <c r="F287" s="28"/>
      <c r="G287" s="31"/>
      <c r="H287" s="32"/>
      <c r="I287" s="33"/>
      <c r="J287" s="33"/>
      <c r="K287" s="34" t="str">
        <f aca="false">IF(H287="","",H287*I287)</f>
        <v/>
      </c>
      <c r="L287" s="34" t="str">
        <f aca="false">IF(H287="","",H287*J287)</f>
        <v/>
      </c>
      <c r="M287" s="35" t="str">
        <f aca="false">IF(H287="","",(L287-K287)/K287*10000)</f>
        <v/>
      </c>
      <c r="N287" s="34" t="str">
        <f aca="false">IF(H287="","",K287*IF(E287="업비트",운용규칙!$B$5,운용규칙!$B$6)+L287*IF(F287="업비트",운용규칙!$B$5,운용규칙!$B$6))</f>
        <v/>
      </c>
      <c r="O287" s="34" t="str">
        <f aca="false">IF(H287="","",L287-K287-N287)</f>
        <v/>
      </c>
      <c r="P287" s="35" t="str">
        <f aca="false">IF(H287="","",O287/K287*10000)</f>
        <v/>
      </c>
      <c r="Q287" s="35" t="str">
        <f aca="false">IF(OR(H287="",G287=""),"",G287-P287)</f>
        <v/>
      </c>
      <c r="R287" s="36" t="str">
        <f aca="false">IF(H287="","",IF(OR(G287&lt;운용규칙!$B$8,K287&gt;운용규칙!$B$7),"위반","OK"))</f>
        <v/>
      </c>
      <c r="S287" s="28"/>
    </row>
    <row r="288" customFormat="false" ht="15" hidden="false" customHeight="false" outlineLevel="0" collapsed="false">
      <c r="A288" s="28"/>
      <c r="B288" s="29"/>
      <c r="C288" s="30"/>
      <c r="D288" s="28"/>
      <c r="E288" s="28"/>
      <c r="F288" s="28"/>
      <c r="G288" s="31"/>
      <c r="H288" s="32"/>
      <c r="I288" s="33"/>
      <c r="J288" s="33"/>
      <c r="K288" s="34" t="str">
        <f aca="false">IF(H288="","",H288*I288)</f>
        <v/>
      </c>
      <c r="L288" s="34" t="str">
        <f aca="false">IF(H288="","",H288*J288)</f>
        <v/>
      </c>
      <c r="M288" s="35" t="str">
        <f aca="false">IF(H288="","",(L288-K288)/K288*10000)</f>
        <v/>
      </c>
      <c r="N288" s="34" t="str">
        <f aca="false">IF(H288="","",K288*IF(E288="업비트",운용규칙!$B$5,운용규칙!$B$6)+L288*IF(F288="업비트",운용규칙!$B$5,운용규칙!$B$6))</f>
        <v/>
      </c>
      <c r="O288" s="34" t="str">
        <f aca="false">IF(H288="","",L288-K288-N288)</f>
        <v/>
      </c>
      <c r="P288" s="35" t="str">
        <f aca="false">IF(H288="","",O288/K288*10000)</f>
        <v/>
      </c>
      <c r="Q288" s="35" t="str">
        <f aca="false">IF(OR(H288="",G288=""),"",G288-P288)</f>
        <v/>
      </c>
      <c r="R288" s="36" t="str">
        <f aca="false">IF(H288="","",IF(OR(G288&lt;운용규칙!$B$8,K288&gt;운용규칙!$B$7),"위반","OK"))</f>
        <v/>
      </c>
      <c r="S288" s="28"/>
    </row>
    <row r="289" customFormat="false" ht="15" hidden="false" customHeight="false" outlineLevel="0" collapsed="false">
      <c r="A289" s="28"/>
      <c r="B289" s="29"/>
      <c r="C289" s="30"/>
      <c r="D289" s="28"/>
      <c r="E289" s="28"/>
      <c r="F289" s="28"/>
      <c r="G289" s="31"/>
      <c r="H289" s="32"/>
      <c r="I289" s="33"/>
      <c r="J289" s="33"/>
      <c r="K289" s="34" t="str">
        <f aca="false">IF(H289="","",H289*I289)</f>
        <v/>
      </c>
      <c r="L289" s="34" t="str">
        <f aca="false">IF(H289="","",H289*J289)</f>
        <v/>
      </c>
      <c r="M289" s="35" t="str">
        <f aca="false">IF(H289="","",(L289-K289)/K289*10000)</f>
        <v/>
      </c>
      <c r="N289" s="34" t="str">
        <f aca="false">IF(H289="","",K289*IF(E289="업비트",운용규칙!$B$5,운용규칙!$B$6)+L289*IF(F289="업비트",운용규칙!$B$5,운용규칙!$B$6))</f>
        <v/>
      </c>
      <c r="O289" s="34" t="str">
        <f aca="false">IF(H289="","",L289-K289-N289)</f>
        <v/>
      </c>
      <c r="P289" s="35" t="str">
        <f aca="false">IF(H289="","",O289/K289*10000)</f>
        <v/>
      </c>
      <c r="Q289" s="35" t="str">
        <f aca="false">IF(OR(H289="",G289=""),"",G289-P289)</f>
        <v/>
      </c>
      <c r="R289" s="36" t="str">
        <f aca="false">IF(H289="","",IF(OR(G289&lt;운용규칙!$B$8,K289&gt;운용규칙!$B$7),"위반","OK"))</f>
        <v/>
      </c>
      <c r="S289" s="28"/>
    </row>
    <row r="290" customFormat="false" ht="15" hidden="false" customHeight="false" outlineLevel="0" collapsed="false">
      <c r="A290" s="28"/>
      <c r="B290" s="29"/>
      <c r="C290" s="30"/>
      <c r="D290" s="28"/>
      <c r="E290" s="28"/>
      <c r="F290" s="28"/>
      <c r="G290" s="31"/>
      <c r="H290" s="32"/>
      <c r="I290" s="33"/>
      <c r="J290" s="33"/>
      <c r="K290" s="34" t="str">
        <f aca="false">IF(H290="","",H290*I290)</f>
        <v/>
      </c>
      <c r="L290" s="34" t="str">
        <f aca="false">IF(H290="","",H290*J290)</f>
        <v/>
      </c>
      <c r="M290" s="35" t="str">
        <f aca="false">IF(H290="","",(L290-K290)/K290*10000)</f>
        <v/>
      </c>
      <c r="N290" s="34" t="str">
        <f aca="false">IF(H290="","",K290*IF(E290="업비트",운용규칙!$B$5,운용규칙!$B$6)+L290*IF(F290="업비트",운용규칙!$B$5,운용규칙!$B$6))</f>
        <v/>
      </c>
      <c r="O290" s="34" t="str">
        <f aca="false">IF(H290="","",L290-K290-N290)</f>
        <v/>
      </c>
      <c r="P290" s="35" t="str">
        <f aca="false">IF(H290="","",O290/K290*10000)</f>
        <v/>
      </c>
      <c r="Q290" s="35" t="str">
        <f aca="false">IF(OR(H290="",G290=""),"",G290-P290)</f>
        <v/>
      </c>
      <c r="R290" s="36" t="str">
        <f aca="false">IF(H290="","",IF(OR(G290&lt;운용규칙!$B$8,K290&gt;운용규칙!$B$7),"위반","OK"))</f>
        <v/>
      </c>
      <c r="S290" s="28"/>
    </row>
    <row r="291" customFormat="false" ht="15" hidden="false" customHeight="false" outlineLevel="0" collapsed="false">
      <c r="A291" s="28"/>
      <c r="B291" s="29"/>
      <c r="C291" s="30"/>
      <c r="D291" s="28"/>
      <c r="E291" s="28"/>
      <c r="F291" s="28"/>
      <c r="G291" s="31"/>
      <c r="H291" s="32"/>
      <c r="I291" s="33"/>
      <c r="J291" s="33"/>
      <c r="K291" s="34" t="str">
        <f aca="false">IF(H291="","",H291*I291)</f>
        <v/>
      </c>
      <c r="L291" s="34" t="str">
        <f aca="false">IF(H291="","",H291*J291)</f>
        <v/>
      </c>
      <c r="M291" s="35" t="str">
        <f aca="false">IF(H291="","",(L291-K291)/K291*10000)</f>
        <v/>
      </c>
      <c r="N291" s="34" t="str">
        <f aca="false">IF(H291="","",K291*IF(E291="업비트",운용규칙!$B$5,운용규칙!$B$6)+L291*IF(F291="업비트",운용규칙!$B$5,운용규칙!$B$6))</f>
        <v/>
      </c>
      <c r="O291" s="34" t="str">
        <f aca="false">IF(H291="","",L291-K291-N291)</f>
        <v/>
      </c>
      <c r="P291" s="35" t="str">
        <f aca="false">IF(H291="","",O291/K291*10000)</f>
        <v/>
      </c>
      <c r="Q291" s="35" t="str">
        <f aca="false">IF(OR(H291="",G291=""),"",G291-P291)</f>
        <v/>
      </c>
      <c r="R291" s="36" t="str">
        <f aca="false">IF(H291="","",IF(OR(G291&lt;운용규칙!$B$8,K291&gt;운용규칙!$B$7),"위반","OK"))</f>
        <v/>
      </c>
      <c r="S291" s="28"/>
    </row>
    <row r="292" customFormat="false" ht="15" hidden="false" customHeight="false" outlineLevel="0" collapsed="false">
      <c r="A292" s="28"/>
      <c r="B292" s="29"/>
      <c r="C292" s="30"/>
      <c r="D292" s="28"/>
      <c r="E292" s="28"/>
      <c r="F292" s="28"/>
      <c r="G292" s="31"/>
      <c r="H292" s="32"/>
      <c r="I292" s="33"/>
      <c r="J292" s="33"/>
      <c r="K292" s="34" t="str">
        <f aca="false">IF(H292="","",H292*I292)</f>
        <v/>
      </c>
      <c r="L292" s="34" t="str">
        <f aca="false">IF(H292="","",H292*J292)</f>
        <v/>
      </c>
      <c r="M292" s="35" t="str">
        <f aca="false">IF(H292="","",(L292-K292)/K292*10000)</f>
        <v/>
      </c>
      <c r="N292" s="34" t="str">
        <f aca="false">IF(H292="","",K292*IF(E292="업비트",운용규칙!$B$5,운용규칙!$B$6)+L292*IF(F292="업비트",운용규칙!$B$5,운용규칙!$B$6))</f>
        <v/>
      </c>
      <c r="O292" s="34" t="str">
        <f aca="false">IF(H292="","",L292-K292-N292)</f>
        <v/>
      </c>
      <c r="P292" s="35" t="str">
        <f aca="false">IF(H292="","",O292/K292*10000)</f>
        <v/>
      </c>
      <c r="Q292" s="35" t="str">
        <f aca="false">IF(OR(H292="",G292=""),"",G292-P292)</f>
        <v/>
      </c>
      <c r="R292" s="36" t="str">
        <f aca="false">IF(H292="","",IF(OR(G292&lt;운용규칙!$B$8,K292&gt;운용규칙!$B$7),"위반","OK"))</f>
        <v/>
      </c>
      <c r="S292" s="28"/>
    </row>
    <row r="293" customFormat="false" ht="15" hidden="false" customHeight="false" outlineLevel="0" collapsed="false">
      <c r="A293" s="28"/>
      <c r="B293" s="29"/>
      <c r="C293" s="30"/>
      <c r="D293" s="28"/>
      <c r="E293" s="28"/>
      <c r="F293" s="28"/>
      <c r="G293" s="31"/>
      <c r="H293" s="32"/>
      <c r="I293" s="33"/>
      <c r="J293" s="33"/>
      <c r="K293" s="34" t="str">
        <f aca="false">IF(H293="","",H293*I293)</f>
        <v/>
      </c>
      <c r="L293" s="34" t="str">
        <f aca="false">IF(H293="","",H293*J293)</f>
        <v/>
      </c>
      <c r="M293" s="35" t="str">
        <f aca="false">IF(H293="","",(L293-K293)/K293*10000)</f>
        <v/>
      </c>
      <c r="N293" s="34" t="str">
        <f aca="false">IF(H293="","",K293*IF(E293="업비트",운용규칙!$B$5,운용규칙!$B$6)+L293*IF(F293="업비트",운용규칙!$B$5,운용규칙!$B$6))</f>
        <v/>
      </c>
      <c r="O293" s="34" t="str">
        <f aca="false">IF(H293="","",L293-K293-N293)</f>
        <v/>
      </c>
      <c r="P293" s="35" t="str">
        <f aca="false">IF(H293="","",O293/K293*10000)</f>
        <v/>
      </c>
      <c r="Q293" s="35" t="str">
        <f aca="false">IF(OR(H293="",G293=""),"",G293-P293)</f>
        <v/>
      </c>
      <c r="R293" s="36" t="str">
        <f aca="false">IF(H293="","",IF(OR(G293&lt;운용규칙!$B$8,K293&gt;운용규칙!$B$7),"위반","OK"))</f>
        <v/>
      </c>
      <c r="S293" s="28"/>
    </row>
    <row r="294" customFormat="false" ht="15" hidden="false" customHeight="false" outlineLevel="0" collapsed="false">
      <c r="A294" s="28"/>
      <c r="B294" s="29"/>
      <c r="C294" s="30"/>
      <c r="D294" s="28"/>
      <c r="E294" s="28"/>
      <c r="F294" s="28"/>
      <c r="G294" s="31"/>
      <c r="H294" s="32"/>
      <c r="I294" s="33"/>
      <c r="J294" s="33"/>
      <c r="K294" s="34" t="str">
        <f aca="false">IF(H294="","",H294*I294)</f>
        <v/>
      </c>
      <c r="L294" s="34" t="str">
        <f aca="false">IF(H294="","",H294*J294)</f>
        <v/>
      </c>
      <c r="M294" s="35" t="str">
        <f aca="false">IF(H294="","",(L294-K294)/K294*10000)</f>
        <v/>
      </c>
      <c r="N294" s="34" t="str">
        <f aca="false">IF(H294="","",K294*IF(E294="업비트",운용규칙!$B$5,운용규칙!$B$6)+L294*IF(F294="업비트",운용규칙!$B$5,운용규칙!$B$6))</f>
        <v/>
      </c>
      <c r="O294" s="34" t="str">
        <f aca="false">IF(H294="","",L294-K294-N294)</f>
        <v/>
      </c>
      <c r="P294" s="35" t="str">
        <f aca="false">IF(H294="","",O294/K294*10000)</f>
        <v/>
      </c>
      <c r="Q294" s="35" t="str">
        <f aca="false">IF(OR(H294="",G294=""),"",G294-P294)</f>
        <v/>
      </c>
      <c r="R294" s="36" t="str">
        <f aca="false">IF(H294="","",IF(OR(G294&lt;운용규칙!$B$8,K294&gt;운용규칙!$B$7),"위반","OK"))</f>
        <v/>
      </c>
      <c r="S294" s="28"/>
    </row>
    <row r="295" customFormat="false" ht="15" hidden="false" customHeight="false" outlineLevel="0" collapsed="false">
      <c r="A295" s="28"/>
      <c r="B295" s="29"/>
      <c r="C295" s="30"/>
      <c r="D295" s="28"/>
      <c r="E295" s="28"/>
      <c r="F295" s="28"/>
      <c r="G295" s="31"/>
      <c r="H295" s="32"/>
      <c r="I295" s="33"/>
      <c r="J295" s="33"/>
      <c r="K295" s="34" t="str">
        <f aca="false">IF(H295="","",H295*I295)</f>
        <v/>
      </c>
      <c r="L295" s="34" t="str">
        <f aca="false">IF(H295="","",H295*J295)</f>
        <v/>
      </c>
      <c r="M295" s="35" t="str">
        <f aca="false">IF(H295="","",(L295-K295)/K295*10000)</f>
        <v/>
      </c>
      <c r="N295" s="34" t="str">
        <f aca="false">IF(H295="","",K295*IF(E295="업비트",운용규칙!$B$5,운용규칙!$B$6)+L295*IF(F295="업비트",운용규칙!$B$5,운용규칙!$B$6))</f>
        <v/>
      </c>
      <c r="O295" s="34" t="str">
        <f aca="false">IF(H295="","",L295-K295-N295)</f>
        <v/>
      </c>
      <c r="P295" s="35" t="str">
        <f aca="false">IF(H295="","",O295/K295*10000)</f>
        <v/>
      </c>
      <c r="Q295" s="35" t="str">
        <f aca="false">IF(OR(H295="",G295=""),"",G295-P295)</f>
        <v/>
      </c>
      <c r="R295" s="36" t="str">
        <f aca="false">IF(H295="","",IF(OR(G295&lt;운용규칙!$B$8,K295&gt;운용규칙!$B$7),"위반","OK"))</f>
        <v/>
      </c>
      <c r="S295" s="28"/>
    </row>
    <row r="296" customFormat="false" ht="15" hidden="false" customHeight="false" outlineLevel="0" collapsed="false">
      <c r="A296" s="28"/>
      <c r="B296" s="29"/>
      <c r="C296" s="30"/>
      <c r="D296" s="28"/>
      <c r="E296" s="28"/>
      <c r="F296" s="28"/>
      <c r="G296" s="31"/>
      <c r="H296" s="32"/>
      <c r="I296" s="33"/>
      <c r="J296" s="33"/>
      <c r="K296" s="34" t="str">
        <f aca="false">IF(H296="","",H296*I296)</f>
        <v/>
      </c>
      <c r="L296" s="34" t="str">
        <f aca="false">IF(H296="","",H296*J296)</f>
        <v/>
      </c>
      <c r="M296" s="35" t="str">
        <f aca="false">IF(H296="","",(L296-K296)/K296*10000)</f>
        <v/>
      </c>
      <c r="N296" s="34" t="str">
        <f aca="false">IF(H296="","",K296*IF(E296="업비트",운용규칙!$B$5,운용규칙!$B$6)+L296*IF(F296="업비트",운용규칙!$B$5,운용규칙!$B$6))</f>
        <v/>
      </c>
      <c r="O296" s="34" t="str">
        <f aca="false">IF(H296="","",L296-K296-N296)</f>
        <v/>
      </c>
      <c r="P296" s="35" t="str">
        <f aca="false">IF(H296="","",O296/K296*10000)</f>
        <v/>
      </c>
      <c r="Q296" s="35" t="str">
        <f aca="false">IF(OR(H296="",G296=""),"",G296-P296)</f>
        <v/>
      </c>
      <c r="R296" s="36" t="str">
        <f aca="false">IF(H296="","",IF(OR(G296&lt;운용규칙!$B$8,K296&gt;운용규칙!$B$7),"위반","OK"))</f>
        <v/>
      </c>
      <c r="S296" s="28"/>
    </row>
    <row r="297" customFormat="false" ht="15" hidden="false" customHeight="false" outlineLevel="0" collapsed="false">
      <c r="A297" s="28"/>
      <c r="B297" s="29"/>
      <c r="C297" s="30"/>
      <c r="D297" s="28"/>
      <c r="E297" s="28"/>
      <c r="F297" s="28"/>
      <c r="G297" s="31"/>
      <c r="H297" s="32"/>
      <c r="I297" s="33"/>
      <c r="J297" s="33"/>
      <c r="K297" s="34" t="str">
        <f aca="false">IF(H297="","",H297*I297)</f>
        <v/>
      </c>
      <c r="L297" s="34" t="str">
        <f aca="false">IF(H297="","",H297*J297)</f>
        <v/>
      </c>
      <c r="M297" s="35" t="str">
        <f aca="false">IF(H297="","",(L297-K297)/K297*10000)</f>
        <v/>
      </c>
      <c r="N297" s="34" t="str">
        <f aca="false">IF(H297="","",K297*IF(E297="업비트",운용규칙!$B$5,운용규칙!$B$6)+L297*IF(F297="업비트",운용규칙!$B$5,운용규칙!$B$6))</f>
        <v/>
      </c>
      <c r="O297" s="34" t="str">
        <f aca="false">IF(H297="","",L297-K297-N297)</f>
        <v/>
      </c>
      <c r="P297" s="35" t="str">
        <f aca="false">IF(H297="","",O297/K297*10000)</f>
        <v/>
      </c>
      <c r="Q297" s="35" t="str">
        <f aca="false">IF(OR(H297="",G297=""),"",G297-P297)</f>
        <v/>
      </c>
      <c r="R297" s="36" t="str">
        <f aca="false">IF(H297="","",IF(OR(G297&lt;운용규칙!$B$8,K297&gt;운용규칙!$B$7),"위반","OK"))</f>
        <v/>
      </c>
      <c r="S297" s="28"/>
    </row>
    <row r="298" customFormat="false" ht="15" hidden="false" customHeight="false" outlineLevel="0" collapsed="false">
      <c r="A298" s="28"/>
      <c r="B298" s="29"/>
      <c r="C298" s="30"/>
      <c r="D298" s="28"/>
      <c r="E298" s="28"/>
      <c r="F298" s="28"/>
      <c r="G298" s="31"/>
      <c r="H298" s="32"/>
      <c r="I298" s="33"/>
      <c r="J298" s="33"/>
      <c r="K298" s="34" t="str">
        <f aca="false">IF(H298="","",H298*I298)</f>
        <v/>
      </c>
      <c r="L298" s="34" t="str">
        <f aca="false">IF(H298="","",H298*J298)</f>
        <v/>
      </c>
      <c r="M298" s="35" t="str">
        <f aca="false">IF(H298="","",(L298-K298)/K298*10000)</f>
        <v/>
      </c>
      <c r="N298" s="34" t="str">
        <f aca="false">IF(H298="","",K298*IF(E298="업비트",운용규칙!$B$5,운용규칙!$B$6)+L298*IF(F298="업비트",운용규칙!$B$5,운용규칙!$B$6))</f>
        <v/>
      </c>
      <c r="O298" s="34" t="str">
        <f aca="false">IF(H298="","",L298-K298-N298)</f>
        <v/>
      </c>
      <c r="P298" s="35" t="str">
        <f aca="false">IF(H298="","",O298/K298*10000)</f>
        <v/>
      </c>
      <c r="Q298" s="35" t="str">
        <f aca="false">IF(OR(H298="",G298=""),"",G298-P298)</f>
        <v/>
      </c>
      <c r="R298" s="36" t="str">
        <f aca="false">IF(H298="","",IF(OR(G298&lt;운용규칙!$B$8,K298&gt;운용규칙!$B$7),"위반","OK"))</f>
        <v/>
      </c>
      <c r="S298" s="28"/>
    </row>
    <row r="299" customFormat="false" ht="15" hidden="false" customHeight="false" outlineLevel="0" collapsed="false">
      <c r="A299" s="28"/>
      <c r="B299" s="29"/>
      <c r="C299" s="30"/>
      <c r="D299" s="28"/>
      <c r="E299" s="28"/>
      <c r="F299" s="28"/>
      <c r="G299" s="31"/>
      <c r="H299" s="32"/>
      <c r="I299" s="33"/>
      <c r="J299" s="33"/>
      <c r="K299" s="34" t="str">
        <f aca="false">IF(H299="","",H299*I299)</f>
        <v/>
      </c>
      <c r="L299" s="34" t="str">
        <f aca="false">IF(H299="","",H299*J299)</f>
        <v/>
      </c>
      <c r="M299" s="35" t="str">
        <f aca="false">IF(H299="","",(L299-K299)/K299*10000)</f>
        <v/>
      </c>
      <c r="N299" s="34" t="str">
        <f aca="false">IF(H299="","",K299*IF(E299="업비트",운용규칙!$B$5,운용규칙!$B$6)+L299*IF(F299="업비트",운용규칙!$B$5,운용규칙!$B$6))</f>
        <v/>
      </c>
      <c r="O299" s="34" t="str">
        <f aca="false">IF(H299="","",L299-K299-N299)</f>
        <v/>
      </c>
      <c r="P299" s="35" t="str">
        <f aca="false">IF(H299="","",O299/K299*10000)</f>
        <v/>
      </c>
      <c r="Q299" s="35" t="str">
        <f aca="false">IF(OR(H299="",G299=""),"",G299-P299)</f>
        <v/>
      </c>
      <c r="R299" s="36" t="str">
        <f aca="false">IF(H299="","",IF(OR(G299&lt;운용규칙!$B$8,K299&gt;운용규칙!$B$7),"위반","OK"))</f>
        <v/>
      </c>
      <c r="S299" s="28"/>
    </row>
    <row r="300" customFormat="false" ht="15" hidden="false" customHeight="false" outlineLevel="0" collapsed="false">
      <c r="A300" s="28"/>
      <c r="B300" s="29"/>
      <c r="C300" s="30"/>
      <c r="D300" s="28"/>
      <c r="E300" s="28"/>
      <c r="F300" s="28"/>
      <c r="G300" s="31"/>
      <c r="H300" s="32"/>
      <c r="I300" s="33"/>
      <c r="J300" s="33"/>
      <c r="K300" s="34" t="str">
        <f aca="false">IF(H300="","",H300*I300)</f>
        <v/>
      </c>
      <c r="L300" s="34" t="str">
        <f aca="false">IF(H300="","",H300*J300)</f>
        <v/>
      </c>
      <c r="M300" s="35" t="str">
        <f aca="false">IF(H300="","",(L300-K300)/K300*10000)</f>
        <v/>
      </c>
      <c r="N300" s="34" t="str">
        <f aca="false">IF(H300="","",K300*IF(E300="업비트",운용규칙!$B$5,운용규칙!$B$6)+L300*IF(F300="업비트",운용규칙!$B$5,운용규칙!$B$6))</f>
        <v/>
      </c>
      <c r="O300" s="34" t="str">
        <f aca="false">IF(H300="","",L300-K300-N300)</f>
        <v/>
      </c>
      <c r="P300" s="35" t="str">
        <f aca="false">IF(H300="","",O300/K300*10000)</f>
        <v/>
      </c>
      <c r="Q300" s="35" t="str">
        <f aca="false">IF(OR(H300="",G300=""),"",G300-P300)</f>
        <v/>
      </c>
      <c r="R300" s="36" t="str">
        <f aca="false">IF(H300="","",IF(OR(G300&lt;운용규칙!$B$8,K300&gt;운용규칙!$B$7),"위반","OK"))</f>
        <v/>
      </c>
      <c r="S300" s="28"/>
    </row>
    <row r="301" customFormat="false" ht="15" hidden="false" customHeight="false" outlineLevel="0" collapsed="false">
      <c r="A301" s="28"/>
      <c r="B301" s="29"/>
      <c r="C301" s="30"/>
      <c r="D301" s="28"/>
      <c r="E301" s="28"/>
      <c r="F301" s="28"/>
      <c r="G301" s="31"/>
      <c r="H301" s="32"/>
      <c r="I301" s="33"/>
      <c r="J301" s="33"/>
      <c r="K301" s="34" t="str">
        <f aca="false">IF(H301="","",H301*I301)</f>
        <v/>
      </c>
      <c r="L301" s="34" t="str">
        <f aca="false">IF(H301="","",H301*J301)</f>
        <v/>
      </c>
      <c r="M301" s="35" t="str">
        <f aca="false">IF(H301="","",(L301-K301)/K301*10000)</f>
        <v/>
      </c>
      <c r="N301" s="34" t="str">
        <f aca="false">IF(H301="","",K301*IF(E301="업비트",운용규칙!$B$5,운용규칙!$B$6)+L301*IF(F301="업비트",운용규칙!$B$5,운용규칙!$B$6))</f>
        <v/>
      </c>
      <c r="O301" s="34" t="str">
        <f aca="false">IF(H301="","",L301-K301-N301)</f>
        <v/>
      </c>
      <c r="P301" s="35" t="str">
        <f aca="false">IF(H301="","",O301/K301*10000)</f>
        <v/>
      </c>
      <c r="Q301" s="35" t="str">
        <f aca="false">IF(OR(H301="",G301=""),"",G301-P301)</f>
        <v/>
      </c>
      <c r="R301" s="36" t="str">
        <f aca="false">IF(H301="","",IF(OR(G301&lt;운용규칙!$B$8,K301&gt;운용규칙!$B$7),"위반","OK"))</f>
        <v/>
      </c>
      <c r="S301" s="28"/>
    </row>
    <row r="302" customFormat="false" ht="15" hidden="false" customHeight="false" outlineLevel="0" collapsed="false">
      <c r="A302" s="28"/>
      <c r="B302" s="29"/>
      <c r="C302" s="30"/>
      <c r="D302" s="28"/>
      <c r="E302" s="28"/>
      <c r="F302" s="28"/>
      <c r="G302" s="31"/>
      <c r="H302" s="32"/>
      <c r="I302" s="33"/>
      <c r="J302" s="33"/>
      <c r="K302" s="34" t="str">
        <f aca="false">IF(H302="","",H302*I302)</f>
        <v/>
      </c>
      <c r="L302" s="34" t="str">
        <f aca="false">IF(H302="","",H302*J302)</f>
        <v/>
      </c>
      <c r="M302" s="35" t="str">
        <f aca="false">IF(H302="","",(L302-K302)/K302*10000)</f>
        <v/>
      </c>
      <c r="N302" s="34" t="str">
        <f aca="false">IF(H302="","",K302*IF(E302="업비트",운용규칙!$B$5,운용규칙!$B$6)+L302*IF(F302="업비트",운용규칙!$B$5,운용규칙!$B$6))</f>
        <v/>
      </c>
      <c r="O302" s="34" t="str">
        <f aca="false">IF(H302="","",L302-K302-N302)</f>
        <v/>
      </c>
      <c r="P302" s="35" t="str">
        <f aca="false">IF(H302="","",O302/K302*10000)</f>
        <v/>
      </c>
      <c r="Q302" s="35" t="str">
        <f aca="false">IF(OR(H302="",G302=""),"",G302-P302)</f>
        <v/>
      </c>
      <c r="R302" s="36" t="str">
        <f aca="false">IF(H302="","",IF(OR(G302&lt;운용규칙!$B$8,K302&gt;운용규칙!$B$7),"위반","OK"))</f>
        <v/>
      </c>
      <c r="S302" s="28"/>
    </row>
    <row r="303" customFormat="false" ht="15" hidden="false" customHeight="false" outlineLevel="0" collapsed="false">
      <c r="A303" s="28"/>
      <c r="B303" s="29"/>
      <c r="C303" s="30"/>
      <c r="D303" s="28"/>
      <c r="E303" s="28"/>
      <c r="F303" s="28"/>
      <c r="G303" s="31"/>
      <c r="H303" s="32"/>
      <c r="I303" s="33"/>
      <c r="J303" s="33"/>
      <c r="K303" s="34" t="str">
        <f aca="false">IF(H303="","",H303*I303)</f>
        <v/>
      </c>
      <c r="L303" s="34" t="str">
        <f aca="false">IF(H303="","",H303*J303)</f>
        <v/>
      </c>
      <c r="M303" s="35" t="str">
        <f aca="false">IF(H303="","",(L303-K303)/K303*10000)</f>
        <v/>
      </c>
      <c r="N303" s="34" t="str">
        <f aca="false">IF(H303="","",K303*IF(E303="업비트",운용규칙!$B$5,운용규칙!$B$6)+L303*IF(F303="업비트",운용규칙!$B$5,운용규칙!$B$6))</f>
        <v/>
      </c>
      <c r="O303" s="34" t="str">
        <f aca="false">IF(H303="","",L303-K303-N303)</f>
        <v/>
      </c>
      <c r="P303" s="35" t="str">
        <f aca="false">IF(H303="","",O303/K303*10000)</f>
        <v/>
      </c>
      <c r="Q303" s="35" t="str">
        <f aca="false">IF(OR(H303="",G303=""),"",G303-P303)</f>
        <v/>
      </c>
      <c r="R303" s="36" t="str">
        <f aca="false">IF(H303="","",IF(OR(G303&lt;운용규칙!$B$8,K303&gt;운용규칙!$B$7),"위반","OK"))</f>
        <v/>
      </c>
      <c r="S303" s="28"/>
    </row>
    <row r="304" customFormat="false" ht="15" hidden="false" customHeight="false" outlineLevel="0" collapsed="false">
      <c r="A304" s="28"/>
      <c r="B304" s="29"/>
      <c r="C304" s="30"/>
      <c r="D304" s="28"/>
      <c r="E304" s="28"/>
      <c r="F304" s="28"/>
      <c r="G304" s="31"/>
      <c r="H304" s="32"/>
      <c r="I304" s="33"/>
      <c r="J304" s="33"/>
      <c r="K304" s="34" t="str">
        <f aca="false">IF(H304="","",H304*I304)</f>
        <v/>
      </c>
      <c r="L304" s="34" t="str">
        <f aca="false">IF(H304="","",H304*J304)</f>
        <v/>
      </c>
      <c r="M304" s="35" t="str">
        <f aca="false">IF(H304="","",(L304-K304)/K304*10000)</f>
        <v/>
      </c>
      <c r="N304" s="34" t="str">
        <f aca="false">IF(H304="","",K304*IF(E304="업비트",운용규칙!$B$5,운용규칙!$B$6)+L304*IF(F304="업비트",운용규칙!$B$5,운용규칙!$B$6))</f>
        <v/>
      </c>
      <c r="O304" s="34" t="str">
        <f aca="false">IF(H304="","",L304-K304-N304)</f>
        <v/>
      </c>
      <c r="P304" s="35" t="str">
        <f aca="false">IF(H304="","",O304/K304*10000)</f>
        <v/>
      </c>
      <c r="Q304" s="35" t="str">
        <f aca="false">IF(OR(H304="",G304=""),"",G304-P304)</f>
        <v/>
      </c>
      <c r="R304" s="36" t="str">
        <f aca="false">IF(H304="","",IF(OR(G304&lt;운용규칙!$B$8,K304&gt;운용규칙!$B$7),"위반","OK"))</f>
        <v/>
      </c>
      <c r="S304" s="28"/>
    </row>
  </sheetData>
  <dataValidations count="1">
    <dataValidation allowBlank="true" errorStyle="stop" operator="between" showDropDown="false" showErrorMessage="false" showInputMessage="false" sqref="E5:F304" type="list">
      <formula1>"업비트,빗썸"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21.6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1.5" hidden="false" customHeight="true" outlineLevel="0" collapsed="false">
      <c r="A4" s="7" t="s">
        <v>51</v>
      </c>
      <c r="B4" s="7" t="s">
        <v>53</v>
      </c>
      <c r="C4" s="7" t="s">
        <v>75</v>
      </c>
      <c r="D4" s="7" t="s">
        <v>76</v>
      </c>
      <c r="E4" s="6" t="s">
        <v>77</v>
      </c>
      <c r="F4" s="6" t="s">
        <v>78</v>
      </c>
      <c r="G4" s="7" t="s">
        <v>79</v>
      </c>
      <c r="H4" s="7" t="s">
        <v>80</v>
      </c>
      <c r="I4" s="6" t="s">
        <v>81</v>
      </c>
      <c r="J4" s="6" t="s">
        <v>82</v>
      </c>
    </row>
    <row r="5" customFormat="false" ht="15" hidden="false" customHeight="false" outlineLevel="0" collapsed="false">
      <c r="A5" s="19" t="n">
        <v>46309</v>
      </c>
      <c r="B5" s="18" t="s">
        <v>69</v>
      </c>
      <c r="C5" s="23" t="n">
        <v>0.2</v>
      </c>
      <c r="D5" s="23" t="n">
        <v>59.8</v>
      </c>
      <c r="E5" s="37" t="n">
        <f aca="false">IF(OR(C5="",D5=""),"",C5+D5)</f>
        <v>60</v>
      </c>
      <c r="F5" s="38" t="n">
        <f aca="false">IF(E5="","",IF(E5=0,0,C5/E5))</f>
        <v>0.00333333333333333</v>
      </c>
      <c r="G5" s="24" t="n">
        <v>3355</v>
      </c>
      <c r="H5" s="24" t="n">
        <v>3340</v>
      </c>
      <c r="I5" s="25" t="n">
        <f aca="false">IF(OR(E5="",G5="",H5=""),"",E5*(G5-H5))</f>
        <v>900</v>
      </c>
      <c r="J5" s="27" t="str">
        <f aca="false">IF(F5="","",IF(OR(F5&lt;운용규칙!$B$10,F5&gt;운용규칙!$B$11),"리밸런싱 필요","OK"))</f>
        <v>리밸런싱 필요</v>
      </c>
    </row>
    <row r="6" customFormat="false" ht="15" hidden="false" customHeight="false" outlineLevel="0" collapsed="false">
      <c r="A6" s="29"/>
      <c r="B6" s="28"/>
      <c r="C6" s="32"/>
      <c r="D6" s="32"/>
      <c r="E6" s="39" t="str">
        <f aca="false">IF(OR(C6="",D6=""),"",C6+D6)</f>
        <v/>
      </c>
      <c r="F6" s="40" t="str">
        <f aca="false">IF(E6="","",IF(E6=0,0,C6/E6))</f>
        <v/>
      </c>
      <c r="G6" s="33"/>
      <c r="H6" s="33"/>
      <c r="I6" s="34" t="str">
        <f aca="false">IF(OR(E6="",G6="",H6=""),"",E6*(G6-H6))</f>
        <v/>
      </c>
      <c r="J6" s="36" t="str">
        <f aca="false">IF(F6="","",IF(OR(F6&lt;운용규칙!$B$10,F6&gt;운용규칙!$B$11),"리밸런싱 필요","OK"))</f>
        <v/>
      </c>
    </row>
    <row r="7" customFormat="false" ht="15" hidden="false" customHeight="false" outlineLevel="0" collapsed="false">
      <c r="A7" s="29"/>
      <c r="B7" s="28"/>
      <c r="C7" s="32"/>
      <c r="D7" s="32"/>
      <c r="E7" s="39" t="str">
        <f aca="false">IF(OR(C7="",D7=""),"",C7+D7)</f>
        <v/>
      </c>
      <c r="F7" s="40" t="str">
        <f aca="false">IF(E7="","",IF(E7=0,0,C7/E7))</f>
        <v/>
      </c>
      <c r="G7" s="33"/>
      <c r="H7" s="33"/>
      <c r="I7" s="34" t="str">
        <f aca="false">IF(OR(E7="",G7="",H7=""),"",E7*(G7-H7))</f>
        <v/>
      </c>
      <c r="J7" s="36" t="str">
        <f aca="false">IF(F7="","",IF(OR(F7&lt;운용규칙!$B$10,F7&gt;운용규칙!$B$11),"리밸런싱 필요","OK"))</f>
        <v/>
      </c>
    </row>
    <row r="8" customFormat="false" ht="15" hidden="false" customHeight="false" outlineLevel="0" collapsed="false">
      <c r="A8" s="29"/>
      <c r="B8" s="28"/>
      <c r="C8" s="32"/>
      <c r="D8" s="32"/>
      <c r="E8" s="39" t="str">
        <f aca="false">IF(OR(C8="",D8=""),"",C8+D8)</f>
        <v/>
      </c>
      <c r="F8" s="40" t="str">
        <f aca="false">IF(E8="","",IF(E8=0,0,C8/E8))</f>
        <v/>
      </c>
      <c r="G8" s="33"/>
      <c r="H8" s="33"/>
      <c r="I8" s="34" t="str">
        <f aca="false">IF(OR(E8="",G8="",H8=""),"",E8*(G8-H8))</f>
        <v/>
      </c>
      <c r="J8" s="36" t="str">
        <f aca="false">IF(F8="","",IF(OR(F8&lt;운용규칙!$B$10,F8&gt;운용규칙!$B$11),"리밸런싱 필요","OK"))</f>
        <v/>
      </c>
    </row>
    <row r="9" customFormat="false" ht="15" hidden="false" customHeight="false" outlineLevel="0" collapsed="false">
      <c r="A9" s="29"/>
      <c r="B9" s="28"/>
      <c r="C9" s="32"/>
      <c r="D9" s="32"/>
      <c r="E9" s="39" t="str">
        <f aca="false">IF(OR(C9="",D9=""),"",C9+D9)</f>
        <v/>
      </c>
      <c r="F9" s="40" t="str">
        <f aca="false">IF(E9="","",IF(E9=0,0,C9/E9))</f>
        <v/>
      </c>
      <c r="G9" s="33"/>
      <c r="H9" s="33"/>
      <c r="I9" s="34" t="str">
        <f aca="false">IF(OR(E9="",G9="",H9=""),"",E9*(G9-H9))</f>
        <v/>
      </c>
      <c r="J9" s="36" t="str">
        <f aca="false">IF(F9="","",IF(OR(F9&lt;운용규칙!$B$10,F9&gt;운용규칙!$B$11),"리밸런싱 필요","OK"))</f>
        <v/>
      </c>
    </row>
    <row r="10" customFormat="false" ht="15" hidden="false" customHeight="false" outlineLevel="0" collapsed="false">
      <c r="A10" s="29"/>
      <c r="B10" s="28"/>
      <c r="C10" s="32"/>
      <c r="D10" s="32"/>
      <c r="E10" s="39" t="str">
        <f aca="false">IF(OR(C10="",D10=""),"",C10+D10)</f>
        <v/>
      </c>
      <c r="F10" s="40" t="str">
        <f aca="false">IF(E10="","",IF(E10=0,0,C10/E10))</f>
        <v/>
      </c>
      <c r="G10" s="33"/>
      <c r="H10" s="33"/>
      <c r="I10" s="34" t="str">
        <f aca="false">IF(OR(E10="",G10="",H10=""),"",E10*(G10-H10))</f>
        <v/>
      </c>
      <c r="J10" s="36" t="str">
        <f aca="false">IF(F10="","",IF(OR(F10&lt;운용규칙!$B$10,F10&gt;운용규칙!$B$11),"리밸런싱 필요","OK"))</f>
        <v/>
      </c>
    </row>
    <row r="11" customFormat="false" ht="15" hidden="false" customHeight="false" outlineLevel="0" collapsed="false">
      <c r="A11" s="29"/>
      <c r="B11" s="28"/>
      <c r="C11" s="32"/>
      <c r="D11" s="32"/>
      <c r="E11" s="39" t="str">
        <f aca="false">IF(OR(C11="",D11=""),"",C11+D11)</f>
        <v/>
      </c>
      <c r="F11" s="40" t="str">
        <f aca="false">IF(E11="","",IF(E11=0,0,C11/E11))</f>
        <v/>
      </c>
      <c r="G11" s="33"/>
      <c r="H11" s="33"/>
      <c r="I11" s="34" t="str">
        <f aca="false">IF(OR(E11="",G11="",H11=""),"",E11*(G11-H11))</f>
        <v/>
      </c>
      <c r="J11" s="36" t="str">
        <f aca="false">IF(F11="","",IF(OR(F11&lt;운용규칙!$B$10,F11&gt;운용규칙!$B$11),"리밸런싱 필요","OK"))</f>
        <v/>
      </c>
    </row>
    <row r="12" customFormat="false" ht="15" hidden="false" customHeight="false" outlineLevel="0" collapsed="false">
      <c r="A12" s="29"/>
      <c r="B12" s="28"/>
      <c r="C12" s="32"/>
      <c r="D12" s="32"/>
      <c r="E12" s="39" t="str">
        <f aca="false">IF(OR(C12="",D12=""),"",C12+D12)</f>
        <v/>
      </c>
      <c r="F12" s="40" t="str">
        <f aca="false">IF(E12="","",IF(E12=0,0,C12/E12))</f>
        <v/>
      </c>
      <c r="G12" s="33"/>
      <c r="H12" s="33"/>
      <c r="I12" s="34" t="str">
        <f aca="false">IF(OR(E12="",G12="",H12=""),"",E12*(G12-H12))</f>
        <v/>
      </c>
      <c r="J12" s="36" t="str">
        <f aca="false">IF(F12="","",IF(OR(F12&lt;운용규칙!$B$10,F12&gt;운용규칙!$B$11),"리밸런싱 필요","OK"))</f>
        <v/>
      </c>
    </row>
    <row r="13" customFormat="false" ht="15" hidden="false" customHeight="false" outlineLevel="0" collapsed="false">
      <c r="A13" s="29"/>
      <c r="B13" s="28"/>
      <c r="C13" s="32"/>
      <c r="D13" s="32"/>
      <c r="E13" s="39" t="str">
        <f aca="false">IF(OR(C13="",D13=""),"",C13+D13)</f>
        <v/>
      </c>
      <c r="F13" s="40" t="str">
        <f aca="false">IF(E13="","",IF(E13=0,0,C13/E13))</f>
        <v/>
      </c>
      <c r="G13" s="33"/>
      <c r="H13" s="33"/>
      <c r="I13" s="34" t="str">
        <f aca="false">IF(OR(E13="",G13="",H13=""),"",E13*(G13-H13))</f>
        <v/>
      </c>
      <c r="J13" s="36" t="str">
        <f aca="false">IF(F13="","",IF(OR(F13&lt;운용규칙!$B$10,F13&gt;운용규칙!$B$11),"리밸런싱 필요","OK"))</f>
        <v/>
      </c>
    </row>
    <row r="14" customFormat="false" ht="15" hidden="false" customHeight="false" outlineLevel="0" collapsed="false">
      <c r="A14" s="29"/>
      <c r="B14" s="28"/>
      <c r="C14" s="32"/>
      <c r="D14" s="32"/>
      <c r="E14" s="39" t="str">
        <f aca="false">IF(OR(C14="",D14=""),"",C14+D14)</f>
        <v/>
      </c>
      <c r="F14" s="40" t="str">
        <f aca="false">IF(E14="","",IF(E14=0,0,C14/E14))</f>
        <v/>
      </c>
      <c r="G14" s="33"/>
      <c r="H14" s="33"/>
      <c r="I14" s="34" t="str">
        <f aca="false">IF(OR(E14="",G14="",H14=""),"",E14*(G14-H14))</f>
        <v/>
      </c>
      <c r="J14" s="36" t="str">
        <f aca="false">IF(F14="","",IF(OR(F14&lt;운용규칙!$B$10,F14&gt;운용규칙!$B$11),"리밸런싱 필요","OK"))</f>
        <v/>
      </c>
    </row>
    <row r="15" customFormat="false" ht="15" hidden="false" customHeight="false" outlineLevel="0" collapsed="false">
      <c r="A15" s="29"/>
      <c r="B15" s="28"/>
      <c r="C15" s="32"/>
      <c r="D15" s="32"/>
      <c r="E15" s="39" t="str">
        <f aca="false">IF(OR(C15="",D15=""),"",C15+D15)</f>
        <v/>
      </c>
      <c r="F15" s="40" t="str">
        <f aca="false">IF(E15="","",IF(E15=0,0,C15/E15))</f>
        <v/>
      </c>
      <c r="G15" s="33"/>
      <c r="H15" s="33"/>
      <c r="I15" s="34" t="str">
        <f aca="false">IF(OR(E15="",G15="",H15=""),"",E15*(G15-H15))</f>
        <v/>
      </c>
      <c r="J15" s="36" t="str">
        <f aca="false">IF(F15="","",IF(OR(F15&lt;운용규칙!$B$10,F15&gt;운용규칙!$B$11),"리밸런싱 필요","OK"))</f>
        <v/>
      </c>
    </row>
    <row r="16" customFormat="false" ht="15" hidden="false" customHeight="false" outlineLevel="0" collapsed="false">
      <c r="A16" s="29"/>
      <c r="B16" s="28"/>
      <c r="C16" s="32"/>
      <c r="D16" s="32"/>
      <c r="E16" s="39" t="str">
        <f aca="false">IF(OR(C16="",D16=""),"",C16+D16)</f>
        <v/>
      </c>
      <c r="F16" s="40" t="str">
        <f aca="false">IF(E16="","",IF(E16=0,0,C16/E16))</f>
        <v/>
      </c>
      <c r="G16" s="33"/>
      <c r="H16" s="33"/>
      <c r="I16" s="34" t="str">
        <f aca="false">IF(OR(E16="",G16="",H16=""),"",E16*(G16-H16))</f>
        <v/>
      </c>
      <c r="J16" s="36" t="str">
        <f aca="false">IF(F16="","",IF(OR(F16&lt;운용규칙!$B$10,F16&gt;운용규칙!$B$11),"리밸런싱 필요","OK"))</f>
        <v/>
      </c>
    </row>
    <row r="17" customFormat="false" ht="15" hidden="false" customHeight="false" outlineLevel="0" collapsed="false">
      <c r="A17" s="29"/>
      <c r="B17" s="28"/>
      <c r="C17" s="32"/>
      <c r="D17" s="32"/>
      <c r="E17" s="39" t="str">
        <f aca="false">IF(OR(C17="",D17=""),"",C17+D17)</f>
        <v/>
      </c>
      <c r="F17" s="40" t="str">
        <f aca="false">IF(E17="","",IF(E17=0,0,C17/E17))</f>
        <v/>
      </c>
      <c r="G17" s="33"/>
      <c r="H17" s="33"/>
      <c r="I17" s="34" t="str">
        <f aca="false">IF(OR(E17="",G17="",H17=""),"",E17*(G17-H17))</f>
        <v/>
      </c>
      <c r="J17" s="36" t="str">
        <f aca="false">IF(F17="","",IF(OR(F17&lt;운용규칙!$B$10,F17&gt;운용규칙!$B$11),"리밸런싱 필요","OK"))</f>
        <v/>
      </c>
    </row>
    <row r="18" customFormat="false" ht="15" hidden="false" customHeight="false" outlineLevel="0" collapsed="false">
      <c r="A18" s="29"/>
      <c r="B18" s="28"/>
      <c r="C18" s="32"/>
      <c r="D18" s="32"/>
      <c r="E18" s="39" t="str">
        <f aca="false">IF(OR(C18="",D18=""),"",C18+D18)</f>
        <v/>
      </c>
      <c r="F18" s="40" t="str">
        <f aca="false">IF(E18="","",IF(E18=0,0,C18/E18))</f>
        <v/>
      </c>
      <c r="G18" s="33"/>
      <c r="H18" s="33"/>
      <c r="I18" s="34" t="str">
        <f aca="false">IF(OR(E18="",G18="",H18=""),"",E18*(G18-H18))</f>
        <v/>
      </c>
      <c r="J18" s="36" t="str">
        <f aca="false">IF(F18="","",IF(OR(F18&lt;운용규칙!$B$10,F18&gt;운용규칙!$B$11),"리밸런싱 필요","OK"))</f>
        <v/>
      </c>
    </row>
    <row r="19" customFormat="false" ht="15" hidden="false" customHeight="false" outlineLevel="0" collapsed="false">
      <c r="A19" s="29"/>
      <c r="B19" s="28"/>
      <c r="C19" s="32"/>
      <c r="D19" s="32"/>
      <c r="E19" s="39" t="str">
        <f aca="false">IF(OR(C19="",D19=""),"",C19+D19)</f>
        <v/>
      </c>
      <c r="F19" s="40" t="str">
        <f aca="false">IF(E19="","",IF(E19=0,0,C19/E19))</f>
        <v/>
      </c>
      <c r="G19" s="33"/>
      <c r="H19" s="33"/>
      <c r="I19" s="34" t="str">
        <f aca="false">IF(OR(E19="",G19="",H19=""),"",E19*(G19-H19))</f>
        <v/>
      </c>
      <c r="J19" s="36" t="str">
        <f aca="false">IF(F19="","",IF(OR(F19&lt;운용규칙!$B$10,F19&gt;운용규칙!$B$11),"리밸런싱 필요","OK"))</f>
        <v/>
      </c>
    </row>
    <row r="20" customFormat="false" ht="15" hidden="false" customHeight="false" outlineLevel="0" collapsed="false">
      <c r="A20" s="29"/>
      <c r="B20" s="28"/>
      <c r="C20" s="32"/>
      <c r="D20" s="32"/>
      <c r="E20" s="39" t="str">
        <f aca="false">IF(OR(C20="",D20=""),"",C20+D20)</f>
        <v/>
      </c>
      <c r="F20" s="40" t="str">
        <f aca="false">IF(E20="","",IF(E20=0,0,C20/E20))</f>
        <v/>
      </c>
      <c r="G20" s="33"/>
      <c r="H20" s="33"/>
      <c r="I20" s="34" t="str">
        <f aca="false">IF(OR(E20="",G20="",H20=""),"",E20*(G20-H20))</f>
        <v/>
      </c>
      <c r="J20" s="36" t="str">
        <f aca="false">IF(F20="","",IF(OR(F20&lt;운용규칙!$B$10,F20&gt;운용규칙!$B$11),"리밸런싱 필요","OK"))</f>
        <v/>
      </c>
    </row>
    <row r="21" customFormat="false" ht="15" hidden="false" customHeight="false" outlineLevel="0" collapsed="false">
      <c r="A21" s="29"/>
      <c r="B21" s="28"/>
      <c r="C21" s="32"/>
      <c r="D21" s="32"/>
      <c r="E21" s="39" t="str">
        <f aca="false">IF(OR(C21="",D21=""),"",C21+D21)</f>
        <v/>
      </c>
      <c r="F21" s="40" t="str">
        <f aca="false">IF(E21="","",IF(E21=0,0,C21/E21))</f>
        <v/>
      </c>
      <c r="G21" s="33"/>
      <c r="H21" s="33"/>
      <c r="I21" s="34" t="str">
        <f aca="false">IF(OR(E21="",G21="",H21=""),"",E21*(G21-H21))</f>
        <v/>
      </c>
      <c r="J21" s="36" t="str">
        <f aca="false">IF(F21="","",IF(OR(F21&lt;운용규칙!$B$10,F21&gt;운용규칙!$B$11),"리밸런싱 필요","OK"))</f>
        <v/>
      </c>
    </row>
    <row r="22" customFormat="false" ht="15" hidden="false" customHeight="false" outlineLevel="0" collapsed="false">
      <c r="A22" s="29"/>
      <c r="B22" s="28"/>
      <c r="C22" s="32"/>
      <c r="D22" s="32"/>
      <c r="E22" s="39" t="str">
        <f aca="false">IF(OR(C22="",D22=""),"",C22+D22)</f>
        <v/>
      </c>
      <c r="F22" s="40" t="str">
        <f aca="false">IF(E22="","",IF(E22=0,0,C22/E22))</f>
        <v/>
      </c>
      <c r="G22" s="33"/>
      <c r="H22" s="33"/>
      <c r="I22" s="34" t="str">
        <f aca="false">IF(OR(E22="",G22="",H22=""),"",E22*(G22-H22))</f>
        <v/>
      </c>
      <c r="J22" s="36" t="str">
        <f aca="false">IF(F22="","",IF(OR(F22&lt;운용규칙!$B$10,F22&gt;운용규칙!$B$11),"리밸런싱 필요","OK"))</f>
        <v/>
      </c>
    </row>
    <row r="23" customFormat="false" ht="15" hidden="false" customHeight="false" outlineLevel="0" collapsed="false">
      <c r="A23" s="29"/>
      <c r="B23" s="28"/>
      <c r="C23" s="32"/>
      <c r="D23" s="32"/>
      <c r="E23" s="39" t="str">
        <f aca="false">IF(OR(C23="",D23=""),"",C23+D23)</f>
        <v/>
      </c>
      <c r="F23" s="40" t="str">
        <f aca="false">IF(E23="","",IF(E23=0,0,C23/E23))</f>
        <v/>
      </c>
      <c r="G23" s="33"/>
      <c r="H23" s="33"/>
      <c r="I23" s="34" t="str">
        <f aca="false">IF(OR(E23="",G23="",H23=""),"",E23*(G23-H23))</f>
        <v/>
      </c>
      <c r="J23" s="36" t="str">
        <f aca="false">IF(F23="","",IF(OR(F23&lt;운용규칙!$B$10,F23&gt;운용규칙!$B$11),"리밸런싱 필요","OK"))</f>
        <v/>
      </c>
    </row>
    <row r="24" customFormat="false" ht="15" hidden="false" customHeight="false" outlineLevel="0" collapsed="false">
      <c r="A24" s="29"/>
      <c r="B24" s="28"/>
      <c r="C24" s="32"/>
      <c r="D24" s="32"/>
      <c r="E24" s="39" t="str">
        <f aca="false">IF(OR(C24="",D24=""),"",C24+D24)</f>
        <v/>
      </c>
      <c r="F24" s="40" t="str">
        <f aca="false">IF(E24="","",IF(E24=0,0,C24/E24))</f>
        <v/>
      </c>
      <c r="G24" s="33"/>
      <c r="H24" s="33"/>
      <c r="I24" s="34" t="str">
        <f aca="false">IF(OR(E24="",G24="",H24=""),"",E24*(G24-H24))</f>
        <v/>
      </c>
      <c r="J24" s="36" t="str">
        <f aca="false">IF(F24="","",IF(OR(F24&lt;운용규칙!$B$10,F24&gt;운용규칙!$B$11),"리밸런싱 필요","OK"))</f>
        <v/>
      </c>
    </row>
    <row r="25" customFormat="false" ht="15" hidden="false" customHeight="false" outlineLevel="0" collapsed="false">
      <c r="A25" s="29"/>
      <c r="B25" s="28"/>
      <c r="C25" s="32"/>
      <c r="D25" s="32"/>
      <c r="E25" s="39" t="str">
        <f aca="false">IF(OR(C25="",D25=""),"",C25+D25)</f>
        <v/>
      </c>
      <c r="F25" s="40" t="str">
        <f aca="false">IF(E25="","",IF(E25=0,0,C25/E25))</f>
        <v/>
      </c>
      <c r="G25" s="33"/>
      <c r="H25" s="33"/>
      <c r="I25" s="34" t="str">
        <f aca="false">IF(OR(E25="",G25="",H25=""),"",E25*(G25-H25))</f>
        <v/>
      </c>
      <c r="J25" s="36" t="str">
        <f aca="false">IF(F25="","",IF(OR(F25&lt;운용규칙!$B$10,F25&gt;운용규칙!$B$11),"리밸런싱 필요","OK"))</f>
        <v/>
      </c>
    </row>
    <row r="26" customFormat="false" ht="15" hidden="false" customHeight="false" outlineLevel="0" collapsed="false">
      <c r="A26" s="29"/>
      <c r="B26" s="28"/>
      <c r="C26" s="32"/>
      <c r="D26" s="32"/>
      <c r="E26" s="39" t="str">
        <f aca="false">IF(OR(C26="",D26=""),"",C26+D26)</f>
        <v/>
      </c>
      <c r="F26" s="40" t="str">
        <f aca="false">IF(E26="","",IF(E26=0,0,C26/E26))</f>
        <v/>
      </c>
      <c r="G26" s="33"/>
      <c r="H26" s="33"/>
      <c r="I26" s="34" t="str">
        <f aca="false">IF(OR(E26="",G26="",H26=""),"",E26*(G26-H26))</f>
        <v/>
      </c>
      <c r="J26" s="36" t="str">
        <f aca="false">IF(F26="","",IF(OR(F26&lt;운용규칙!$B$10,F26&gt;운용규칙!$B$11),"리밸런싱 필요","OK"))</f>
        <v/>
      </c>
    </row>
    <row r="27" customFormat="false" ht="15" hidden="false" customHeight="false" outlineLevel="0" collapsed="false">
      <c r="A27" s="29"/>
      <c r="B27" s="28"/>
      <c r="C27" s="32"/>
      <c r="D27" s="32"/>
      <c r="E27" s="39" t="str">
        <f aca="false">IF(OR(C27="",D27=""),"",C27+D27)</f>
        <v/>
      </c>
      <c r="F27" s="40" t="str">
        <f aca="false">IF(E27="","",IF(E27=0,0,C27/E27))</f>
        <v/>
      </c>
      <c r="G27" s="33"/>
      <c r="H27" s="33"/>
      <c r="I27" s="34" t="str">
        <f aca="false">IF(OR(E27="",G27="",H27=""),"",E27*(G27-H27))</f>
        <v/>
      </c>
      <c r="J27" s="36" t="str">
        <f aca="false">IF(F27="","",IF(OR(F27&lt;운용규칙!$B$10,F27&gt;운용규칙!$B$11),"리밸런싱 필요","OK"))</f>
        <v/>
      </c>
    </row>
    <row r="28" customFormat="false" ht="15" hidden="false" customHeight="false" outlineLevel="0" collapsed="false">
      <c r="A28" s="29"/>
      <c r="B28" s="28"/>
      <c r="C28" s="32"/>
      <c r="D28" s="32"/>
      <c r="E28" s="39" t="str">
        <f aca="false">IF(OR(C28="",D28=""),"",C28+D28)</f>
        <v/>
      </c>
      <c r="F28" s="40" t="str">
        <f aca="false">IF(E28="","",IF(E28=0,0,C28/E28))</f>
        <v/>
      </c>
      <c r="G28" s="33"/>
      <c r="H28" s="33"/>
      <c r="I28" s="34" t="str">
        <f aca="false">IF(OR(E28="",G28="",H28=""),"",E28*(G28-H28))</f>
        <v/>
      </c>
      <c r="J28" s="36" t="str">
        <f aca="false">IF(F28="","",IF(OR(F28&lt;운용규칙!$B$10,F28&gt;운용규칙!$B$11),"리밸런싱 필요","OK"))</f>
        <v/>
      </c>
    </row>
    <row r="29" customFormat="false" ht="15" hidden="false" customHeight="false" outlineLevel="0" collapsed="false">
      <c r="A29" s="29"/>
      <c r="B29" s="28"/>
      <c r="C29" s="32"/>
      <c r="D29" s="32"/>
      <c r="E29" s="39" t="str">
        <f aca="false">IF(OR(C29="",D29=""),"",C29+D29)</f>
        <v/>
      </c>
      <c r="F29" s="40" t="str">
        <f aca="false">IF(E29="","",IF(E29=0,0,C29/E29))</f>
        <v/>
      </c>
      <c r="G29" s="33"/>
      <c r="H29" s="33"/>
      <c r="I29" s="34" t="str">
        <f aca="false">IF(OR(E29="",G29="",H29=""),"",E29*(G29-H29))</f>
        <v/>
      </c>
      <c r="J29" s="36" t="str">
        <f aca="false">IF(F29="","",IF(OR(F29&lt;운용규칙!$B$10,F29&gt;운용규칙!$B$11),"리밸런싱 필요","OK"))</f>
        <v/>
      </c>
    </row>
    <row r="30" customFormat="false" ht="15" hidden="false" customHeight="false" outlineLevel="0" collapsed="false">
      <c r="A30" s="29"/>
      <c r="B30" s="28"/>
      <c r="C30" s="32"/>
      <c r="D30" s="32"/>
      <c r="E30" s="39" t="str">
        <f aca="false">IF(OR(C30="",D30=""),"",C30+D30)</f>
        <v/>
      </c>
      <c r="F30" s="40" t="str">
        <f aca="false">IF(E30="","",IF(E30=0,0,C30/E30))</f>
        <v/>
      </c>
      <c r="G30" s="33"/>
      <c r="H30" s="33"/>
      <c r="I30" s="34" t="str">
        <f aca="false">IF(OR(E30="",G30="",H30=""),"",E30*(G30-H30))</f>
        <v/>
      </c>
      <c r="J30" s="36" t="str">
        <f aca="false">IF(F30="","",IF(OR(F30&lt;운용규칙!$B$10,F30&gt;운용규칙!$B$11),"리밸런싱 필요","OK"))</f>
        <v/>
      </c>
    </row>
    <row r="31" customFormat="false" ht="15" hidden="false" customHeight="false" outlineLevel="0" collapsed="false">
      <c r="A31" s="29"/>
      <c r="B31" s="28"/>
      <c r="C31" s="32"/>
      <c r="D31" s="32"/>
      <c r="E31" s="39" t="str">
        <f aca="false">IF(OR(C31="",D31=""),"",C31+D31)</f>
        <v/>
      </c>
      <c r="F31" s="40" t="str">
        <f aca="false">IF(E31="","",IF(E31=0,0,C31/E31))</f>
        <v/>
      </c>
      <c r="G31" s="33"/>
      <c r="H31" s="33"/>
      <c r="I31" s="34" t="str">
        <f aca="false">IF(OR(E31="",G31="",H31=""),"",E31*(G31-H31))</f>
        <v/>
      </c>
      <c r="J31" s="36" t="str">
        <f aca="false">IF(F31="","",IF(OR(F31&lt;운용규칙!$B$10,F31&gt;운용규칙!$B$11),"리밸런싱 필요","OK"))</f>
        <v/>
      </c>
    </row>
    <row r="32" customFormat="false" ht="15" hidden="false" customHeight="false" outlineLevel="0" collapsed="false">
      <c r="A32" s="29"/>
      <c r="B32" s="28"/>
      <c r="C32" s="32"/>
      <c r="D32" s="32"/>
      <c r="E32" s="39" t="str">
        <f aca="false">IF(OR(C32="",D32=""),"",C32+D32)</f>
        <v/>
      </c>
      <c r="F32" s="40" t="str">
        <f aca="false">IF(E32="","",IF(E32=0,0,C32/E32))</f>
        <v/>
      </c>
      <c r="G32" s="33"/>
      <c r="H32" s="33"/>
      <c r="I32" s="34" t="str">
        <f aca="false">IF(OR(E32="",G32="",H32=""),"",E32*(G32-H32))</f>
        <v/>
      </c>
      <c r="J32" s="36" t="str">
        <f aca="false">IF(F32="","",IF(OR(F32&lt;운용규칙!$B$10,F32&gt;운용규칙!$B$11),"리밸런싱 필요","OK"))</f>
        <v/>
      </c>
    </row>
    <row r="33" customFormat="false" ht="15" hidden="false" customHeight="false" outlineLevel="0" collapsed="false">
      <c r="A33" s="29"/>
      <c r="B33" s="28"/>
      <c r="C33" s="32"/>
      <c r="D33" s="32"/>
      <c r="E33" s="39" t="str">
        <f aca="false">IF(OR(C33="",D33=""),"",C33+D33)</f>
        <v/>
      </c>
      <c r="F33" s="40" t="str">
        <f aca="false">IF(E33="","",IF(E33=0,0,C33/E33))</f>
        <v/>
      </c>
      <c r="G33" s="33"/>
      <c r="H33" s="33"/>
      <c r="I33" s="34" t="str">
        <f aca="false">IF(OR(E33="",G33="",H33=""),"",E33*(G33-H33))</f>
        <v/>
      </c>
      <c r="J33" s="36" t="str">
        <f aca="false">IF(F33="","",IF(OR(F33&lt;운용규칙!$B$10,F33&gt;운용규칙!$B$11),"리밸런싱 필요","OK"))</f>
        <v/>
      </c>
    </row>
    <row r="34" customFormat="false" ht="15" hidden="false" customHeight="false" outlineLevel="0" collapsed="false">
      <c r="A34" s="29"/>
      <c r="B34" s="28"/>
      <c r="C34" s="32"/>
      <c r="D34" s="32"/>
      <c r="E34" s="39" t="str">
        <f aca="false">IF(OR(C34="",D34=""),"",C34+D34)</f>
        <v/>
      </c>
      <c r="F34" s="40" t="str">
        <f aca="false">IF(E34="","",IF(E34=0,0,C34/E34))</f>
        <v/>
      </c>
      <c r="G34" s="33"/>
      <c r="H34" s="33"/>
      <c r="I34" s="34" t="str">
        <f aca="false">IF(OR(E34="",G34="",H34=""),"",E34*(G34-H34))</f>
        <v/>
      </c>
      <c r="J34" s="36" t="str">
        <f aca="false">IF(F34="","",IF(OR(F34&lt;운용규칙!$B$10,F34&gt;운용규칙!$B$11),"리밸런싱 필요","OK"))</f>
        <v/>
      </c>
    </row>
    <row r="35" customFormat="false" ht="15" hidden="false" customHeight="false" outlineLevel="0" collapsed="false">
      <c r="A35" s="29"/>
      <c r="B35" s="28"/>
      <c r="C35" s="32"/>
      <c r="D35" s="32"/>
      <c r="E35" s="39" t="str">
        <f aca="false">IF(OR(C35="",D35=""),"",C35+D35)</f>
        <v/>
      </c>
      <c r="F35" s="40" t="str">
        <f aca="false">IF(E35="","",IF(E35=0,0,C35/E35))</f>
        <v/>
      </c>
      <c r="G35" s="33"/>
      <c r="H35" s="33"/>
      <c r="I35" s="34" t="str">
        <f aca="false">IF(OR(E35="",G35="",H35=""),"",E35*(G35-H35))</f>
        <v/>
      </c>
      <c r="J35" s="36" t="str">
        <f aca="false">IF(F35="","",IF(OR(F35&lt;운용규칙!$B$10,F35&gt;운용규칙!$B$11),"리밸런싱 필요","OK"))</f>
        <v/>
      </c>
    </row>
    <row r="36" customFormat="false" ht="15" hidden="false" customHeight="false" outlineLevel="0" collapsed="false">
      <c r="A36" s="29"/>
      <c r="B36" s="28"/>
      <c r="C36" s="32"/>
      <c r="D36" s="32"/>
      <c r="E36" s="39" t="str">
        <f aca="false">IF(OR(C36="",D36=""),"",C36+D36)</f>
        <v/>
      </c>
      <c r="F36" s="40" t="str">
        <f aca="false">IF(E36="","",IF(E36=0,0,C36/E36))</f>
        <v/>
      </c>
      <c r="G36" s="33"/>
      <c r="H36" s="33"/>
      <c r="I36" s="34" t="str">
        <f aca="false">IF(OR(E36="",G36="",H36=""),"",E36*(G36-H36))</f>
        <v/>
      </c>
      <c r="J36" s="36" t="str">
        <f aca="false">IF(F36="","",IF(OR(F36&lt;운용규칙!$B$10,F36&gt;운용규칙!$B$11),"리밸런싱 필요","OK"))</f>
        <v/>
      </c>
    </row>
    <row r="37" customFormat="false" ht="15" hidden="false" customHeight="false" outlineLevel="0" collapsed="false">
      <c r="A37" s="29"/>
      <c r="B37" s="28"/>
      <c r="C37" s="32"/>
      <c r="D37" s="32"/>
      <c r="E37" s="39" t="str">
        <f aca="false">IF(OR(C37="",D37=""),"",C37+D37)</f>
        <v/>
      </c>
      <c r="F37" s="40" t="str">
        <f aca="false">IF(E37="","",IF(E37=0,0,C37/E37))</f>
        <v/>
      </c>
      <c r="G37" s="33"/>
      <c r="H37" s="33"/>
      <c r="I37" s="34" t="str">
        <f aca="false">IF(OR(E37="",G37="",H37=""),"",E37*(G37-H37))</f>
        <v/>
      </c>
      <c r="J37" s="36" t="str">
        <f aca="false">IF(F37="","",IF(OR(F37&lt;운용규칙!$B$10,F37&gt;운용규칙!$B$11),"리밸런싱 필요","OK"))</f>
        <v/>
      </c>
    </row>
    <row r="38" customFormat="false" ht="15" hidden="false" customHeight="false" outlineLevel="0" collapsed="false">
      <c r="A38" s="29"/>
      <c r="B38" s="28"/>
      <c r="C38" s="32"/>
      <c r="D38" s="32"/>
      <c r="E38" s="39" t="str">
        <f aca="false">IF(OR(C38="",D38=""),"",C38+D38)</f>
        <v/>
      </c>
      <c r="F38" s="40" t="str">
        <f aca="false">IF(E38="","",IF(E38=0,0,C38/E38))</f>
        <v/>
      </c>
      <c r="G38" s="33"/>
      <c r="H38" s="33"/>
      <c r="I38" s="34" t="str">
        <f aca="false">IF(OR(E38="",G38="",H38=""),"",E38*(G38-H38))</f>
        <v/>
      </c>
      <c r="J38" s="36" t="str">
        <f aca="false">IF(F38="","",IF(OR(F38&lt;운용규칙!$B$10,F38&gt;운용규칙!$B$11),"리밸런싱 필요","OK"))</f>
        <v/>
      </c>
    </row>
    <row r="39" customFormat="false" ht="15" hidden="false" customHeight="false" outlineLevel="0" collapsed="false">
      <c r="A39" s="29"/>
      <c r="B39" s="28"/>
      <c r="C39" s="32"/>
      <c r="D39" s="32"/>
      <c r="E39" s="39" t="str">
        <f aca="false">IF(OR(C39="",D39=""),"",C39+D39)</f>
        <v/>
      </c>
      <c r="F39" s="40" t="str">
        <f aca="false">IF(E39="","",IF(E39=0,0,C39/E39))</f>
        <v/>
      </c>
      <c r="G39" s="33"/>
      <c r="H39" s="33"/>
      <c r="I39" s="34" t="str">
        <f aca="false">IF(OR(E39="",G39="",H39=""),"",E39*(G39-H39))</f>
        <v/>
      </c>
      <c r="J39" s="36" t="str">
        <f aca="false">IF(F39="","",IF(OR(F39&lt;운용규칙!$B$10,F39&gt;운용규칙!$B$11),"리밸런싱 필요","OK"))</f>
        <v/>
      </c>
    </row>
    <row r="40" customFormat="false" ht="15" hidden="false" customHeight="false" outlineLevel="0" collapsed="false">
      <c r="A40" s="29"/>
      <c r="B40" s="28"/>
      <c r="C40" s="32"/>
      <c r="D40" s="32"/>
      <c r="E40" s="39" t="str">
        <f aca="false">IF(OR(C40="",D40=""),"",C40+D40)</f>
        <v/>
      </c>
      <c r="F40" s="40" t="str">
        <f aca="false">IF(E40="","",IF(E40=0,0,C40/E40))</f>
        <v/>
      </c>
      <c r="G40" s="33"/>
      <c r="H40" s="33"/>
      <c r="I40" s="34" t="str">
        <f aca="false">IF(OR(E40="",G40="",H40=""),"",E40*(G40-H40))</f>
        <v/>
      </c>
      <c r="J40" s="36" t="str">
        <f aca="false">IF(F40="","",IF(OR(F40&lt;운용규칙!$B$10,F40&gt;운용규칙!$B$11),"리밸런싱 필요","OK"))</f>
        <v/>
      </c>
    </row>
    <row r="41" customFormat="false" ht="15" hidden="false" customHeight="false" outlineLevel="0" collapsed="false">
      <c r="A41" s="29"/>
      <c r="B41" s="28"/>
      <c r="C41" s="32"/>
      <c r="D41" s="32"/>
      <c r="E41" s="39" t="str">
        <f aca="false">IF(OR(C41="",D41=""),"",C41+D41)</f>
        <v/>
      </c>
      <c r="F41" s="40" t="str">
        <f aca="false">IF(E41="","",IF(E41=0,0,C41/E41))</f>
        <v/>
      </c>
      <c r="G41" s="33"/>
      <c r="H41" s="33"/>
      <c r="I41" s="34" t="str">
        <f aca="false">IF(OR(E41="",G41="",H41=""),"",E41*(G41-H41))</f>
        <v/>
      </c>
      <c r="J41" s="36" t="str">
        <f aca="false">IF(F41="","",IF(OR(F41&lt;운용규칙!$B$10,F41&gt;운용규칙!$B$11),"리밸런싱 필요","OK"))</f>
        <v/>
      </c>
    </row>
    <row r="42" customFormat="false" ht="15" hidden="false" customHeight="false" outlineLevel="0" collapsed="false">
      <c r="A42" s="29"/>
      <c r="B42" s="28"/>
      <c r="C42" s="32"/>
      <c r="D42" s="32"/>
      <c r="E42" s="39" t="str">
        <f aca="false">IF(OR(C42="",D42=""),"",C42+D42)</f>
        <v/>
      </c>
      <c r="F42" s="40" t="str">
        <f aca="false">IF(E42="","",IF(E42=0,0,C42/E42))</f>
        <v/>
      </c>
      <c r="G42" s="33"/>
      <c r="H42" s="33"/>
      <c r="I42" s="34" t="str">
        <f aca="false">IF(OR(E42="",G42="",H42=""),"",E42*(G42-H42))</f>
        <v/>
      </c>
      <c r="J42" s="36" t="str">
        <f aca="false">IF(F42="","",IF(OR(F42&lt;운용규칙!$B$10,F42&gt;운용규칙!$B$11),"리밸런싱 필요","OK"))</f>
        <v/>
      </c>
    </row>
    <row r="43" customFormat="false" ht="15" hidden="false" customHeight="false" outlineLevel="0" collapsed="false">
      <c r="A43" s="29"/>
      <c r="B43" s="28"/>
      <c r="C43" s="32"/>
      <c r="D43" s="32"/>
      <c r="E43" s="39" t="str">
        <f aca="false">IF(OR(C43="",D43=""),"",C43+D43)</f>
        <v/>
      </c>
      <c r="F43" s="40" t="str">
        <f aca="false">IF(E43="","",IF(E43=0,0,C43/E43))</f>
        <v/>
      </c>
      <c r="G43" s="33"/>
      <c r="H43" s="33"/>
      <c r="I43" s="34" t="str">
        <f aca="false">IF(OR(E43="",G43="",H43=""),"",E43*(G43-H43))</f>
        <v/>
      </c>
      <c r="J43" s="36" t="str">
        <f aca="false">IF(F43="","",IF(OR(F43&lt;운용규칙!$B$10,F43&gt;운용규칙!$B$11),"리밸런싱 필요","OK"))</f>
        <v/>
      </c>
    </row>
    <row r="44" customFormat="false" ht="15" hidden="false" customHeight="false" outlineLevel="0" collapsed="false">
      <c r="A44" s="29"/>
      <c r="B44" s="28"/>
      <c r="C44" s="32"/>
      <c r="D44" s="32"/>
      <c r="E44" s="39" t="str">
        <f aca="false">IF(OR(C44="",D44=""),"",C44+D44)</f>
        <v/>
      </c>
      <c r="F44" s="40" t="str">
        <f aca="false">IF(E44="","",IF(E44=0,0,C44/E44))</f>
        <v/>
      </c>
      <c r="G44" s="33"/>
      <c r="H44" s="33"/>
      <c r="I44" s="34" t="str">
        <f aca="false">IF(OR(E44="",G44="",H44=""),"",E44*(G44-H44))</f>
        <v/>
      </c>
      <c r="J44" s="36" t="str">
        <f aca="false">IF(F44="","",IF(OR(F44&lt;운용규칙!$B$10,F44&gt;운용규칙!$B$11),"리밸런싱 필요","OK"))</f>
        <v/>
      </c>
    </row>
    <row r="45" customFormat="false" ht="15" hidden="false" customHeight="false" outlineLevel="0" collapsed="false">
      <c r="A45" s="29"/>
      <c r="B45" s="28"/>
      <c r="C45" s="32"/>
      <c r="D45" s="32"/>
      <c r="E45" s="39" t="str">
        <f aca="false">IF(OR(C45="",D45=""),"",C45+D45)</f>
        <v/>
      </c>
      <c r="F45" s="40" t="str">
        <f aca="false">IF(E45="","",IF(E45=0,0,C45/E45))</f>
        <v/>
      </c>
      <c r="G45" s="33"/>
      <c r="H45" s="33"/>
      <c r="I45" s="34" t="str">
        <f aca="false">IF(OR(E45="",G45="",H45=""),"",E45*(G45-H45))</f>
        <v/>
      </c>
      <c r="J45" s="36" t="str">
        <f aca="false">IF(F45="","",IF(OR(F45&lt;운용규칙!$B$10,F45&gt;운용규칙!$B$11),"리밸런싱 필요","OK"))</f>
        <v/>
      </c>
    </row>
    <row r="46" customFormat="false" ht="15" hidden="false" customHeight="false" outlineLevel="0" collapsed="false">
      <c r="A46" s="29"/>
      <c r="B46" s="28"/>
      <c r="C46" s="32"/>
      <c r="D46" s="32"/>
      <c r="E46" s="39" t="str">
        <f aca="false">IF(OR(C46="",D46=""),"",C46+D46)</f>
        <v/>
      </c>
      <c r="F46" s="40" t="str">
        <f aca="false">IF(E46="","",IF(E46=0,0,C46/E46))</f>
        <v/>
      </c>
      <c r="G46" s="33"/>
      <c r="H46" s="33"/>
      <c r="I46" s="34" t="str">
        <f aca="false">IF(OR(E46="",G46="",H46=""),"",E46*(G46-H46))</f>
        <v/>
      </c>
      <c r="J46" s="36" t="str">
        <f aca="false">IF(F46="","",IF(OR(F46&lt;운용규칙!$B$10,F46&gt;운용규칙!$B$11),"리밸런싱 필요","OK"))</f>
        <v/>
      </c>
    </row>
    <row r="47" customFormat="false" ht="15" hidden="false" customHeight="false" outlineLevel="0" collapsed="false">
      <c r="A47" s="29"/>
      <c r="B47" s="28"/>
      <c r="C47" s="32"/>
      <c r="D47" s="32"/>
      <c r="E47" s="39" t="str">
        <f aca="false">IF(OR(C47="",D47=""),"",C47+D47)</f>
        <v/>
      </c>
      <c r="F47" s="40" t="str">
        <f aca="false">IF(E47="","",IF(E47=0,0,C47/E47))</f>
        <v/>
      </c>
      <c r="G47" s="33"/>
      <c r="H47" s="33"/>
      <c r="I47" s="34" t="str">
        <f aca="false">IF(OR(E47="",G47="",H47=""),"",E47*(G47-H47))</f>
        <v/>
      </c>
      <c r="J47" s="36" t="str">
        <f aca="false">IF(F47="","",IF(OR(F47&lt;운용규칙!$B$10,F47&gt;운용규칙!$B$11),"리밸런싱 필요","OK"))</f>
        <v/>
      </c>
    </row>
    <row r="48" customFormat="false" ht="15" hidden="false" customHeight="false" outlineLevel="0" collapsed="false">
      <c r="A48" s="29"/>
      <c r="B48" s="28"/>
      <c r="C48" s="32"/>
      <c r="D48" s="32"/>
      <c r="E48" s="39" t="str">
        <f aca="false">IF(OR(C48="",D48=""),"",C48+D48)</f>
        <v/>
      </c>
      <c r="F48" s="40" t="str">
        <f aca="false">IF(E48="","",IF(E48=0,0,C48/E48))</f>
        <v/>
      </c>
      <c r="G48" s="33"/>
      <c r="H48" s="33"/>
      <c r="I48" s="34" t="str">
        <f aca="false">IF(OR(E48="",G48="",H48=""),"",E48*(G48-H48))</f>
        <v/>
      </c>
      <c r="J48" s="36" t="str">
        <f aca="false">IF(F48="","",IF(OR(F48&lt;운용규칙!$B$10,F48&gt;운용규칙!$B$11),"리밸런싱 필요","OK"))</f>
        <v/>
      </c>
    </row>
    <row r="49" customFormat="false" ht="15" hidden="false" customHeight="false" outlineLevel="0" collapsed="false">
      <c r="A49" s="29"/>
      <c r="B49" s="28"/>
      <c r="C49" s="32"/>
      <c r="D49" s="32"/>
      <c r="E49" s="39" t="str">
        <f aca="false">IF(OR(C49="",D49=""),"",C49+D49)</f>
        <v/>
      </c>
      <c r="F49" s="40" t="str">
        <f aca="false">IF(E49="","",IF(E49=0,0,C49/E49))</f>
        <v/>
      </c>
      <c r="G49" s="33"/>
      <c r="H49" s="33"/>
      <c r="I49" s="34" t="str">
        <f aca="false">IF(OR(E49="",G49="",H49=""),"",E49*(G49-H49))</f>
        <v/>
      </c>
      <c r="J49" s="36" t="str">
        <f aca="false">IF(F49="","",IF(OR(F49&lt;운용규칙!$B$10,F49&gt;운용규칙!$B$11),"리밸런싱 필요","OK"))</f>
        <v/>
      </c>
    </row>
    <row r="50" customFormat="false" ht="15" hidden="false" customHeight="false" outlineLevel="0" collapsed="false">
      <c r="A50" s="29"/>
      <c r="B50" s="28"/>
      <c r="C50" s="32"/>
      <c r="D50" s="32"/>
      <c r="E50" s="39" t="str">
        <f aca="false">IF(OR(C50="",D50=""),"",C50+D50)</f>
        <v/>
      </c>
      <c r="F50" s="40" t="str">
        <f aca="false">IF(E50="","",IF(E50=0,0,C50/E50))</f>
        <v/>
      </c>
      <c r="G50" s="33"/>
      <c r="H50" s="33"/>
      <c r="I50" s="34" t="str">
        <f aca="false">IF(OR(E50="",G50="",H50=""),"",E50*(G50-H50))</f>
        <v/>
      </c>
      <c r="J50" s="36" t="str">
        <f aca="false">IF(F50="","",IF(OR(F50&lt;운용규칙!$B$10,F50&gt;운용규칙!$B$11),"리밸런싱 필요","OK"))</f>
        <v/>
      </c>
    </row>
    <row r="51" customFormat="false" ht="15" hidden="false" customHeight="false" outlineLevel="0" collapsed="false">
      <c r="A51" s="29"/>
      <c r="B51" s="28"/>
      <c r="C51" s="32"/>
      <c r="D51" s="32"/>
      <c r="E51" s="39" t="str">
        <f aca="false">IF(OR(C51="",D51=""),"",C51+D51)</f>
        <v/>
      </c>
      <c r="F51" s="40" t="str">
        <f aca="false">IF(E51="","",IF(E51=0,0,C51/E51))</f>
        <v/>
      </c>
      <c r="G51" s="33"/>
      <c r="H51" s="33"/>
      <c r="I51" s="34" t="str">
        <f aca="false">IF(OR(E51="",G51="",H51=""),"",E51*(G51-H51))</f>
        <v/>
      </c>
      <c r="J51" s="36" t="str">
        <f aca="false">IF(F51="","",IF(OR(F51&lt;운용규칙!$B$10,F51&gt;운용규칙!$B$11),"리밸런싱 필요","OK"))</f>
        <v/>
      </c>
    </row>
    <row r="52" customFormat="false" ht="15" hidden="false" customHeight="false" outlineLevel="0" collapsed="false">
      <c r="A52" s="29"/>
      <c r="B52" s="28"/>
      <c r="C52" s="32"/>
      <c r="D52" s="32"/>
      <c r="E52" s="39" t="str">
        <f aca="false">IF(OR(C52="",D52=""),"",C52+D52)</f>
        <v/>
      </c>
      <c r="F52" s="40" t="str">
        <f aca="false">IF(E52="","",IF(E52=0,0,C52/E52))</f>
        <v/>
      </c>
      <c r="G52" s="33"/>
      <c r="H52" s="33"/>
      <c r="I52" s="34" t="str">
        <f aca="false">IF(OR(E52="",G52="",H52=""),"",E52*(G52-H52))</f>
        <v/>
      </c>
      <c r="J52" s="36" t="str">
        <f aca="false">IF(F52="","",IF(OR(F52&lt;운용규칙!$B$10,F52&gt;운용규칙!$B$11),"리밸런싱 필요","OK"))</f>
        <v/>
      </c>
    </row>
    <row r="53" customFormat="false" ht="15" hidden="false" customHeight="false" outlineLevel="0" collapsed="false">
      <c r="A53" s="29"/>
      <c r="B53" s="28"/>
      <c r="C53" s="32"/>
      <c r="D53" s="32"/>
      <c r="E53" s="39" t="str">
        <f aca="false">IF(OR(C53="",D53=""),"",C53+D53)</f>
        <v/>
      </c>
      <c r="F53" s="40" t="str">
        <f aca="false">IF(E53="","",IF(E53=0,0,C53/E53))</f>
        <v/>
      </c>
      <c r="G53" s="33"/>
      <c r="H53" s="33"/>
      <c r="I53" s="34" t="str">
        <f aca="false">IF(OR(E53="",G53="",H53=""),"",E53*(G53-H53))</f>
        <v/>
      </c>
      <c r="J53" s="36" t="str">
        <f aca="false">IF(F53="","",IF(OR(F53&lt;운용규칙!$B$10,F53&gt;운용규칙!$B$11),"리밸런싱 필요","OK"))</f>
        <v/>
      </c>
    </row>
    <row r="54" customFormat="false" ht="15" hidden="false" customHeight="false" outlineLevel="0" collapsed="false">
      <c r="A54" s="29"/>
      <c r="B54" s="28"/>
      <c r="C54" s="32"/>
      <c r="D54" s="32"/>
      <c r="E54" s="39" t="str">
        <f aca="false">IF(OR(C54="",D54=""),"",C54+D54)</f>
        <v/>
      </c>
      <c r="F54" s="40" t="str">
        <f aca="false">IF(E54="","",IF(E54=0,0,C54/E54))</f>
        <v/>
      </c>
      <c r="G54" s="33"/>
      <c r="H54" s="33"/>
      <c r="I54" s="34" t="str">
        <f aca="false">IF(OR(E54="",G54="",H54=""),"",E54*(G54-H54))</f>
        <v/>
      </c>
      <c r="J54" s="36" t="str">
        <f aca="false">IF(F54="","",IF(OR(F54&lt;운용규칙!$B$10,F54&gt;운용규칙!$B$11),"리밸런싱 필요","OK"))</f>
        <v/>
      </c>
    </row>
    <row r="55" customFormat="false" ht="15" hidden="false" customHeight="false" outlineLevel="0" collapsed="false">
      <c r="A55" s="29"/>
      <c r="B55" s="28"/>
      <c r="C55" s="32"/>
      <c r="D55" s="32"/>
      <c r="E55" s="39" t="str">
        <f aca="false">IF(OR(C55="",D55=""),"",C55+D55)</f>
        <v/>
      </c>
      <c r="F55" s="40" t="str">
        <f aca="false">IF(E55="","",IF(E55=0,0,C55/E55))</f>
        <v/>
      </c>
      <c r="G55" s="33"/>
      <c r="H55" s="33"/>
      <c r="I55" s="34" t="str">
        <f aca="false">IF(OR(E55="",G55="",H55=""),"",E55*(G55-H55))</f>
        <v/>
      </c>
      <c r="J55" s="36" t="str">
        <f aca="false">IF(F55="","",IF(OR(F55&lt;운용규칙!$B$10,F55&gt;운용규칙!$B$11),"리밸런싱 필요","OK"))</f>
        <v/>
      </c>
    </row>
    <row r="56" customFormat="false" ht="15" hidden="false" customHeight="false" outlineLevel="0" collapsed="false">
      <c r="A56" s="29"/>
      <c r="B56" s="28"/>
      <c r="C56" s="32"/>
      <c r="D56" s="32"/>
      <c r="E56" s="39" t="str">
        <f aca="false">IF(OR(C56="",D56=""),"",C56+D56)</f>
        <v/>
      </c>
      <c r="F56" s="40" t="str">
        <f aca="false">IF(E56="","",IF(E56=0,0,C56/E56))</f>
        <v/>
      </c>
      <c r="G56" s="33"/>
      <c r="H56" s="33"/>
      <c r="I56" s="34" t="str">
        <f aca="false">IF(OR(E56="",G56="",H56=""),"",E56*(G56-H56))</f>
        <v/>
      </c>
      <c r="J56" s="36" t="str">
        <f aca="false">IF(F56="","",IF(OR(F56&lt;운용규칙!$B$10,F56&gt;운용규칙!$B$11),"리밸런싱 필요","OK"))</f>
        <v/>
      </c>
    </row>
    <row r="57" customFormat="false" ht="15" hidden="false" customHeight="false" outlineLevel="0" collapsed="false">
      <c r="A57" s="29"/>
      <c r="B57" s="28"/>
      <c r="C57" s="32"/>
      <c r="D57" s="32"/>
      <c r="E57" s="39" t="str">
        <f aca="false">IF(OR(C57="",D57=""),"",C57+D57)</f>
        <v/>
      </c>
      <c r="F57" s="40" t="str">
        <f aca="false">IF(E57="","",IF(E57=0,0,C57/E57))</f>
        <v/>
      </c>
      <c r="G57" s="33"/>
      <c r="H57" s="33"/>
      <c r="I57" s="34" t="str">
        <f aca="false">IF(OR(E57="",G57="",H57=""),"",E57*(G57-H57))</f>
        <v/>
      </c>
      <c r="J57" s="36" t="str">
        <f aca="false">IF(F57="","",IF(OR(F57&lt;운용규칙!$B$10,F57&gt;운용규칙!$B$11),"리밸런싱 필요","OK"))</f>
        <v/>
      </c>
    </row>
    <row r="58" customFormat="false" ht="15" hidden="false" customHeight="false" outlineLevel="0" collapsed="false">
      <c r="A58" s="29"/>
      <c r="B58" s="28"/>
      <c r="C58" s="32"/>
      <c r="D58" s="32"/>
      <c r="E58" s="39" t="str">
        <f aca="false">IF(OR(C58="",D58=""),"",C58+D58)</f>
        <v/>
      </c>
      <c r="F58" s="40" t="str">
        <f aca="false">IF(E58="","",IF(E58=0,0,C58/E58))</f>
        <v/>
      </c>
      <c r="G58" s="33"/>
      <c r="H58" s="33"/>
      <c r="I58" s="34" t="str">
        <f aca="false">IF(OR(E58="",G58="",H58=""),"",E58*(G58-H58))</f>
        <v/>
      </c>
      <c r="J58" s="36" t="str">
        <f aca="false">IF(F58="","",IF(OR(F58&lt;운용규칙!$B$10,F58&gt;운용규칙!$B$11),"리밸런싱 필요","OK"))</f>
        <v/>
      </c>
    </row>
    <row r="59" customFormat="false" ht="15" hidden="false" customHeight="false" outlineLevel="0" collapsed="false">
      <c r="A59" s="29"/>
      <c r="B59" s="28"/>
      <c r="C59" s="32"/>
      <c r="D59" s="32"/>
      <c r="E59" s="39" t="str">
        <f aca="false">IF(OR(C59="",D59=""),"",C59+D59)</f>
        <v/>
      </c>
      <c r="F59" s="40" t="str">
        <f aca="false">IF(E59="","",IF(E59=0,0,C59/E59))</f>
        <v/>
      </c>
      <c r="G59" s="33"/>
      <c r="H59" s="33"/>
      <c r="I59" s="34" t="str">
        <f aca="false">IF(OR(E59="",G59="",H59=""),"",E59*(G59-H59))</f>
        <v/>
      </c>
      <c r="J59" s="36" t="str">
        <f aca="false">IF(F59="","",IF(OR(F59&lt;운용규칙!$B$10,F59&gt;운용규칙!$B$11),"리밸런싱 필요","OK"))</f>
        <v/>
      </c>
    </row>
    <row r="60" customFormat="false" ht="15" hidden="false" customHeight="false" outlineLevel="0" collapsed="false">
      <c r="A60" s="29"/>
      <c r="B60" s="28"/>
      <c r="C60" s="32"/>
      <c r="D60" s="32"/>
      <c r="E60" s="39" t="str">
        <f aca="false">IF(OR(C60="",D60=""),"",C60+D60)</f>
        <v/>
      </c>
      <c r="F60" s="40" t="str">
        <f aca="false">IF(E60="","",IF(E60=0,0,C60/E60))</f>
        <v/>
      </c>
      <c r="G60" s="33"/>
      <c r="H60" s="33"/>
      <c r="I60" s="34" t="str">
        <f aca="false">IF(OR(E60="",G60="",H60=""),"",E60*(G60-H60))</f>
        <v/>
      </c>
      <c r="J60" s="36" t="str">
        <f aca="false">IF(F60="","",IF(OR(F60&lt;운용규칙!$B$10,F60&gt;운용규칙!$B$11),"리밸런싱 필요","OK"))</f>
        <v/>
      </c>
    </row>
    <row r="61" customFormat="false" ht="15" hidden="false" customHeight="false" outlineLevel="0" collapsed="false">
      <c r="A61" s="29"/>
      <c r="B61" s="28"/>
      <c r="C61" s="32"/>
      <c r="D61" s="32"/>
      <c r="E61" s="39" t="str">
        <f aca="false">IF(OR(C61="",D61=""),"",C61+D61)</f>
        <v/>
      </c>
      <c r="F61" s="40" t="str">
        <f aca="false">IF(E61="","",IF(E61=0,0,C61/E61))</f>
        <v/>
      </c>
      <c r="G61" s="33"/>
      <c r="H61" s="33"/>
      <c r="I61" s="34" t="str">
        <f aca="false">IF(OR(E61="",G61="",H61=""),"",E61*(G61-H61))</f>
        <v/>
      </c>
      <c r="J61" s="36" t="str">
        <f aca="false">IF(F61="","",IF(OR(F61&lt;운용규칙!$B$10,F61&gt;운용규칙!$B$11),"리밸런싱 필요","OK"))</f>
        <v/>
      </c>
    </row>
    <row r="62" customFormat="false" ht="15" hidden="false" customHeight="false" outlineLevel="0" collapsed="false">
      <c r="A62" s="29"/>
      <c r="B62" s="28"/>
      <c r="C62" s="32"/>
      <c r="D62" s="32"/>
      <c r="E62" s="39" t="str">
        <f aca="false">IF(OR(C62="",D62=""),"",C62+D62)</f>
        <v/>
      </c>
      <c r="F62" s="40" t="str">
        <f aca="false">IF(E62="","",IF(E62=0,0,C62/E62))</f>
        <v/>
      </c>
      <c r="G62" s="33"/>
      <c r="H62" s="33"/>
      <c r="I62" s="34" t="str">
        <f aca="false">IF(OR(E62="",G62="",H62=""),"",E62*(G62-H62))</f>
        <v/>
      </c>
      <c r="J62" s="36" t="str">
        <f aca="false">IF(F62="","",IF(OR(F62&lt;운용규칙!$B$10,F62&gt;운용규칙!$B$11),"리밸런싱 필요","OK"))</f>
        <v/>
      </c>
    </row>
    <row r="63" customFormat="false" ht="15" hidden="false" customHeight="false" outlineLevel="0" collapsed="false">
      <c r="A63" s="29"/>
      <c r="B63" s="28"/>
      <c r="C63" s="32"/>
      <c r="D63" s="32"/>
      <c r="E63" s="39" t="str">
        <f aca="false">IF(OR(C63="",D63=""),"",C63+D63)</f>
        <v/>
      </c>
      <c r="F63" s="40" t="str">
        <f aca="false">IF(E63="","",IF(E63=0,0,C63/E63))</f>
        <v/>
      </c>
      <c r="G63" s="33"/>
      <c r="H63" s="33"/>
      <c r="I63" s="34" t="str">
        <f aca="false">IF(OR(E63="",G63="",H63=""),"",E63*(G63-H63))</f>
        <v/>
      </c>
      <c r="J63" s="36" t="str">
        <f aca="false">IF(F63="","",IF(OR(F63&lt;운용규칙!$B$10,F63&gt;운용규칙!$B$11),"리밸런싱 필요","OK"))</f>
        <v/>
      </c>
    </row>
    <row r="64" customFormat="false" ht="15" hidden="false" customHeight="false" outlineLevel="0" collapsed="false">
      <c r="A64" s="29"/>
      <c r="B64" s="28"/>
      <c r="C64" s="32"/>
      <c r="D64" s="32"/>
      <c r="E64" s="39" t="str">
        <f aca="false">IF(OR(C64="",D64=""),"",C64+D64)</f>
        <v/>
      </c>
      <c r="F64" s="40" t="str">
        <f aca="false">IF(E64="","",IF(E64=0,0,C64/E64))</f>
        <v/>
      </c>
      <c r="G64" s="33"/>
      <c r="H64" s="33"/>
      <c r="I64" s="34" t="str">
        <f aca="false">IF(OR(E64="",G64="",H64=""),"",E64*(G64-H64))</f>
        <v/>
      </c>
      <c r="J64" s="36" t="str">
        <f aca="false">IF(F64="","",IF(OR(F64&lt;운용규칙!$B$10,F64&gt;운용규칙!$B$11),"리밸런싱 필요","OK"))</f>
        <v/>
      </c>
    </row>
    <row r="65" customFormat="false" ht="15" hidden="false" customHeight="false" outlineLevel="0" collapsed="false">
      <c r="A65" s="29"/>
      <c r="B65" s="28"/>
      <c r="C65" s="32"/>
      <c r="D65" s="32"/>
      <c r="E65" s="39" t="str">
        <f aca="false">IF(OR(C65="",D65=""),"",C65+D65)</f>
        <v/>
      </c>
      <c r="F65" s="40" t="str">
        <f aca="false">IF(E65="","",IF(E65=0,0,C65/E65))</f>
        <v/>
      </c>
      <c r="G65" s="33"/>
      <c r="H65" s="33"/>
      <c r="I65" s="34" t="str">
        <f aca="false">IF(OR(E65="",G65="",H65=""),"",E65*(G65-H65))</f>
        <v/>
      </c>
      <c r="J65" s="36" t="str">
        <f aca="false">IF(F65="","",IF(OR(F65&lt;운용규칙!$B$10,F65&gt;운용규칙!$B$11),"리밸런싱 필요","OK"))</f>
        <v/>
      </c>
    </row>
    <row r="66" customFormat="false" ht="15" hidden="false" customHeight="false" outlineLevel="0" collapsed="false">
      <c r="A66" s="29"/>
      <c r="B66" s="28"/>
      <c r="C66" s="32"/>
      <c r="D66" s="32"/>
      <c r="E66" s="39" t="str">
        <f aca="false">IF(OR(C66="",D66=""),"",C66+D66)</f>
        <v/>
      </c>
      <c r="F66" s="40" t="str">
        <f aca="false">IF(E66="","",IF(E66=0,0,C66/E66))</f>
        <v/>
      </c>
      <c r="G66" s="33"/>
      <c r="H66" s="33"/>
      <c r="I66" s="34" t="str">
        <f aca="false">IF(OR(E66="",G66="",H66=""),"",E66*(G66-H66))</f>
        <v/>
      </c>
      <c r="J66" s="36" t="str">
        <f aca="false">IF(F66="","",IF(OR(F66&lt;운용규칙!$B$10,F66&gt;운용규칙!$B$11),"리밸런싱 필요","OK"))</f>
        <v/>
      </c>
    </row>
    <row r="67" customFormat="false" ht="15" hidden="false" customHeight="false" outlineLevel="0" collapsed="false">
      <c r="A67" s="29"/>
      <c r="B67" s="28"/>
      <c r="C67" s="32"/>
      <c r="D67" s="32"/>
      <c r="E67" s="39" t="str">
        <f aca="false">IF(OR(C67="",D67=""),"",C67+D67)</f>
        <v/>
      </c>
      <c r="F67" s="40" t="str">
        <f aca="false">IF(E67="","",IF(E67=0,0,C67/E67))</f>
        <v/>
      </c>
      <c r="G67" s="33"/>
      <c r="H67" s="33"/>
      <c r="I67" s="34" t="str">
        <f aca="false">IF(OR(E67="",G67="",H67=""),"",E67*(G67-H67))</f>
        <v/>
      </c>
      <c r="J67" s="36" t="str">
        <f aca="false">IF(F67="","",IF(OR(F67&lt;운용규칙!$B$10,F67&gt;운용규칙!$B$11),"리밸런싱 필요","OK"))</f>
        <v/>
      </c>
    </row>
    <row r="68" customFormat="false" ht="15" hidden="false" customHeight="false" outlineLevel="0" collapsed="false">
      <c r="A68" s="29"/>
      <c r="B68" s="28"/>
      <c r="C68" s="32"/>
      <c r="D68" s="32"/>
      <c r="E68" s="39" t="str">
        <f aca="false">IF(OR(C68="",D68=""),"",C68+D68)</f>
        <v/>
      </c>
      <c r="F68" s="40" t="str">
        <f aca="false">IF(E68="","",IF(E68=0,0,C68/E68))</f>
        <v/>
      </c>
      <c r="G68" s="33"/>
      <c r="H68" s="33"/>
      <c r="I68" s="34" t="str">
        <f aca="false">IF(OR(E68="",G68="",H68=""),"",E68*(G68-H68))</f>
        <v/>
      </c>
      <c r="J68" s="36" t="str">
        <f aca="false">IF(F68="","",IF(OR(F68&lt;운용규칙!$B$10,F68&gt;운용규칙!$B$11),"리밸런싱 필요","OK"))</f>
        <v/>
      </c>
    </row>
    <row r="69" customFormat="false" ht="15" hidden="false" customHeight="false" outlineLevel="0" collapsed="false">
      <c r="A69" s="29"/>
      <c r="B69" s="28"/>
      <c r="C69" s="32"/>
      <c r="D69" s="32"/>
      <c r="E69" s="39" t="str">
        <f aca="false">IF(OR(C69="",D69=""),"",C69+D69)</f>
        <v/>
      </c>
      <c r="F69" s="40" t="str">
        <f aca="false">IF(E69="","",IF(E69=0,0,C69/E69))</f>
        <v/>
      </c>
      <c r="G69" s="33"/>
      <c r="H69" s="33"/>
      <c r="I69" s="34" t="str">
        <f aca="false">IF(OR(E69="",G69="",H69=""),"",E69*(G69-H69))</f>
        <v/>
      </c>
      <c r="J69" s="36" t="str">
        <f aca="false">IF(F69="","",IF(OR(F69&lt;운용규칙!$B$10,F69&gt;운용규칙!$B$11),"리밸런싱 필요","OK"))</f>
        <v/>
      </c>
    </row>
    <row r="70" customFormat="false" ht="15" hidden="false" customHeight="false" outlineLevel="0" collapsed="false">
      <c r="A70" s="29"/>
      <c r="B70" s="28"/>
      <c r="C70" s="32"/>
      <c r="D70" s="32"/>
      <c r="E70" s="39" t="str">
        <f aca="false">IF(OR(C70="",D70=""),"",C70+D70)</f>
        <v/>
      </c>
      <c r="F70" s="40" t="str">
        <f aca="false">IF(E70="","",IF(E70=0,0,C70/E70))</f>
        <v/>
      </c>
      <c r="G70" s="33"/>
      <c r="H70" s="33"/>
      <c r="I70" s="34" t="str">
        <f aca="false">IF(OR(E70="",G70="",H70=""),"",E70*(G70-H70))</f>
        <v/>
      </c>
      <c r="J70" s="36" t="str">
        <f aca="false">IF(F70="","",IF(OR(F70&lt;운용규칙!$B$10,F70&gt;운용규칙!$B$11),"리밸런싱 필요","OK"))</f>
        <v/>
      </c>
    </row>
    <row r="71" customFormat="false" ht="15" hidden="false" customHeight="false" outlineLevel="0" collapsed="false">
      <c r="A71" s="29"/>
      <c r="B71" s="28"/>
      <c r="C71" s="32"/>
      <c r="D71" s="32"/>
      <c r="E71" s="39" t="str">
        <f aca="false">IF(OR(C71="",D71=""),"",C71+D71)</f>
        <v/>
      </c>
      <c r="F71" s="40" t="str">
        <f aca="false">IF(E71="","",IF(E71=0,0,C71/E71))</f>
        <v/>
      </c>
      <c r="G71" s="33"/>
      <c r="H71" s="33"/>
      <c r="I71" s="34" t="str">
        <f aca="false">IF(OR(E71="",G71="",H71=""),"",E71*(G71-H71))</f>
        <v/>
      </c>
      <c r="J71" s="36" t="str">
        <f aca="false">IF(F71="","",IF(OR(F71&lt;운용규칙!$B$10,F71&gt;운용규칙!$B$11),"리밸런싱 필요","OK"))</f>
        <v/>
      </c>
    </row>
    <row r="72" customFormat="false" ht="15" hidden="false" customHeight="false" outlineLevel="0" collapsed="false">
      <c r="A72" s="29"/>
      <c r="B72" s="28"/>
      <c r="C72" s="32"/>
      <c r="D72" s="32"/>
      <c r="E72" s="39" t="str">
        <f aca="false">IF(OR(C72="",D72=""),"",C72+D72)</f>
        <v/>
      </c>
      <c r="F72" s="40" t="str">
        <f aca="false">IF(E72="","",IF(E72=0,0,C72/E72))</f>
        <v/>
      </c>
      <c r="G72" s="33"/>
      <c r="H72" s="33"/>
      <c r="I72" s="34" t="str">
        <f aca="false">IF(OR(E72="",G72="",H72=""),"",E72*(G72-H72))</f>
        <v/>
      </c>
      <c r="J72" s="36" t="str">
        <f aca="false">IF(F72="","",IF(OR(F72&lt;운용규칙!$B$10,F72&gt;운용규칙!$B$11),"리밸런싱 필요","OK"))</f>
        <v/>
      </c>
    </row>
    <row r="73" customFormat="false" ht="15" hidden="false" customHeight="false" outlineLevel="0" collapsed="false">
      <c r="A73" s="29"/>
      <c r="B73" s="28"/>
      <c r="C73" s="32"/>
      <c r="D73" s="32"/>
      <c r="E73" s="39" t="str">
        <f aca="false">IF(OR(C73="",D73=""),"",C73+D73)</f>
        <v/>
      </c>
      <c r="F73" s="40" t="str">
        <f aca="false">IF(E73="","",IF(E73=0,0,C73/E73))</f>
        <v/>
      </c>
      <c r="G73" s="33"/>
      <c r="H73" s="33"/>
      <c r="I73" s="34" t="str">
        <f aca="false">IF(OR(E73="",G73="",H73=""),"",E73*(G73-H73))</f>
        <v/>
      </c>
      <c r="J73" s="36" t="str">
        <f aca="false">IF(F73="","",IF(OR(F73&lt;운용규칙!$B$10,F73&gt;운용규칙!$B$11),"리밸런싱 필요","OK"))</f>
        <v/>
      </c>
    </row>
    <row r="74" customFormat="false" ht="15" hidden="false" customHeight="false" outlineLevel="0" collapsed="false">
      <c r="A74" s="29"/>
      <c r="B74" s="28"/>
      <c r="C74" s="32"/>
      <c r="D74" s="32"/>
      <c r="E74" s="39" t="str">
        <f aca="false">IF(OR(C74="",D74=""),"",C74+D74)</f>
        <v/>
      </c>
      <c r="F74" s="40" t="str">
        <f aca="false">IF(E74="","",IF(E74=0,0,C74/E74))</f>
        <v/>
      </c>
      <c r="G74" s="33"/>
      <c r="H74" s="33"/>
      <c r="I74" s="34" t="str">
        <f aca="false">IF(OR(E74="",G74="",H74=""),"",E74*(G74-H74))</f>
        <v/>
      </c>
      <c r="J74" s="36" t="str">
        <f aca="false">IF(F74="","",IF(OR(F74&lt;운용규칙!$B$10,F74&gt;운용규칙!$B$11),"리밸런싱 필요","OK"))</f>
        <v/>
      </c>
    </row>
    <row r="75" customFormat="false" ht="15" hidden="false" customHeight="false" outlineLevel="0" collapsed="false">
      <c r="A75" s="29"/>
      <c r="B75" s="28"/>
      <c r="C75" s="32"/>
      <c r="D75" s="32"/>
      <c r="E75" s="39" t="str">
        <f aca="false">IF(OR(C75="",D75=""),"",C75+D75)</f>
        <v/>
      </c>
      <c r="F75" s="40" t="str">
        <f aca="false">IF(E75="","",IF(E75=0,0,C75/E75))</f>
        <v/>
      </c>
      <c r="G75" s="33"/>
      <c r="H75" s="33"/>
      <c r="I75" s="34" t="str">
        <f aca="false">IF(OR(E75="",G75="",H75=""),"",E75*(G75-H75))</f>
        <v/>
      </c>
      <c r="J75" s="36" t="str">
        <f aca="false">IF(F75="","",IF(OR(F75&lt;운용규칙!$B$10,F75&gt;운용규칙!$B$11),"리밸런싱 필요","OK"))</f>
        <v/>
      </c>
    </row>
    <row r="76" customFormat="false" ht="15" hidden="false" customHeight="false" outlineLevel="0" collapsed="false">
      <c r="A76" s="29"/>
      <c r="B76" s="28"/>
      <c r="C76" s="32"/>
      <c r="D76" s="32"/>
      <c r="E76" s="39" t="str">
        <f aca="false">IF(OR(C76="",D76=""),"",C76+D76)</f>
        <v/>
      </c>
      <c r="F76" s="40" t="str">
        <f aca="false">IF(E76="","",IF(E76=0,0,C76/E76))</f>
        <v/>
      </c>
      <c r="G76" s="33"/>
      <c r="H76" s="33"/>
      <c r="I76" s="34" t="str">
        <f aca="false">IF(OR(E76="",G76="",H76=""),"",E76*(G76-H76))</f>
        <v/>
      </c>
      <c r="J76" s="36" t="str">
        <f aca="false">IF(F76="","",IF(OR(F76&lt;운용규칙!$B$10,F76&gt;운용규칙!$B$11),"리밸런싱 필요","OK"))</f>
        <v/>
      </c>
    </row>
    <row r="77" customFormat="false" ht="15" hidden="false" customHeight="false" outlineLevel="0" collapsed="false">
      <c r="A77" s="29"/>
      <c r="B77" s="28"/>
      <c r="C77" s="32"/>
      <c r="D77" s="32"/>
      <c r="E77" s="39" t="str">
        <f aca="false">IF(OR(C77="",D77=""),"",C77+D77)</f>
        <v/>
      </c>
      <c r="F77" s="40" t="str">
        <f aca="false">IF(E77="","",IF(E77=0,0,C77/E77))</f>
        <v/>
      </c>
      <c r="G77" s="33"/>
      <c r="H77" s="33"/>
      <c r="I77" s="34" t="str">
        <f aca="false">IF(OR(E77="",G77="",H77=""),"",E77*(G77-H77))</f>
        <v/>
      </c>
      <c r="J77" s="36" t="str">
        <f aca="false">IF(F77="","",IF(OR(F77&lt;운용규칙!$B$10,F77&gt;운용규칙!$B$11),"리밸런싱 필요","OK"))</f>
        <v/>
      </c>
    </row>
    <row r="78" customFormat="false" ht="15" hidden="false" customHeight="false" outlineLevel="0" collapsed="false">
      <c r="A78" s="29"/>
      <c r="B78" s="28"/>
      <c r="C78" s="32"/>
      <c r="D78" s="32"/>
      <c r="E78" s="39" t="str">
        <f aca="false">IF(OR(C78="",D78=""),"",C78+D78)</f>
        <v/>
      </c>
      <c r="F78" s="40" t="str">
        <f aca="false">IF(E78="","",IF(E78=0,0,C78/E78))</f>
        <v/>
      </c>
      <c r="G78" s="33"/>
      <c r="H78" s="33"/>
      <c r="I78" s="34" t="str">
        <f aca="false">IF(OR(E78="",G78="",H78=""),"",E78*(G78-H78))</f>
        <v/>
      </c>
      <c r="J78" s="36" t="str">
        <f aca="false">IF(F78="","",IF(OR(F78&lt;운용규칙!$B$10,F78&gt;운용규칙!$B$11),"리밸런싱 필요","OK"))</f>
        <v/>
      </c>
    </row>
    <row r="79" customFormat="false" ht="15" hidden="false" customHeight="false" outlineLevel="0" collapsed="false">
      <c r="A79" s="29"/>
      <c r="B79" s="28"/>
      <c r="C79" s="32"/>
      <c r="D79" s="32"/>
      <c r="E79" s="39" t="str">
        <f aca="false">IF(OR(C79="",D79=""),"",C79+D79)</f>
        <v/>
      </c>
      <c r="F79" s="40" t="str">
        <f aca="false">IF(E79="","",IF(E79=0,0,C79/E79))</f>
        <v/>
      </c>
      <c r="G79" s="33"/>
      <c r="H79" s="33"/>
      <c r="I79" s="34" t="str">
        <f aca="false">IF(OR(E79="",G79="",H79=""),"",E79*(G79-H79))</f>
        <v/>
      </c>
      <c r="J79" s="36" t="str">
        <f aca="false">IF(F79="","",IF(OR(F79&lt;운용규칙!$B$10,F79&gt;운용규칙!$B$11),"리밸런싱 필요","OK"))</f>
        <v/>
      </c>
    </row>
    <row r="80" customFormat="false" ht="15" hidden="false" customHeight="false" outlineLevel="0" collapsed="false">
      <c r="A80" s="29"/>
      <c r="B80" s="28"/>
      <c r="C80" s="32"/>
      <c r="D80" s="32"/>
      <c r="E80" s="39" t="str">
        <f aca="false">IF(OR(C80="",D80=""),"",C80+D80)</f>
        <v/>
      </c>
      <c r="F80" s="40" t="str">
        <f aca="false">IF(E80="","",IF(E80=0,0,C80/E80))</f>
        <v/>
      </c>
      <c r="G80" s="33"/>
      <c r="H80" s="33"/>
      <c r="I80" s="34" t="str">
        <f aca="false">IF(OR(E80="",G80="",H80=""),"",E80*(G80-H80))</f>
        <v/>
      </c>
      <c r="J80" s="36" t="str">
        <f aca="false">IF(F80="","",IF(OR(F80&lt;운용규칙!$B$10,F80&gt;운용규칙!$B$11),"리밸런싱 필요","OK"))</f>
        <v/>
      </c>
    </row>
    <row r="81" customFormat="false" ht="15" hidden="false" customHeight="false" outlineLevel="0" collapsed="false">
      <c r="A81" s="29"/>
      <c r="B81" s="28"/>
      <c r="C81" s="32"/>
      <c r="D81" s="32"/>
      <c r="E81" s="39" t="str">
        <f aca="false">IF(OR(C81="",D81=""),"",C81+D81)</f>
        <v/>
      </c>
      <c r="F81" s="40" t="str">
        <f aca="false">IF(E81="","",IF(E81=0,0,C81/E81))</f>
        <v/>
      </c>
      <c r="G81" s="33"/>
      <c r="H81" s="33"/>
      <c r="I81" s="34" t="str">
        <f aca="false">IF(OR(E81="",G81="",H81=""),"",E81*(G81-H81))</f>
        <v/>
      </c>
      <c r="J81" s="36" t="str">
        <f aca="false">IF(F81="","",IF(OR(F81&lt;운용규칙!$B$10,F81&gt;운용규칙!$B$11),"리밸런싱 필요","OK"))</f>
        <v/>
      </c>
    </row>
    <row r="82" customFormat="false" ht="15" hidden="false" customHeight="false" outlineLevel="0" collapsed="false">
      <c r="A82" s="29"/>
      <c r="B82" s="28"/>
      <c r="C82" s="32"/>
      <c r="D82" s="32"/>
      <c r="E82" s="39" t="str">
        <f aca="false">IF(OR(C82="",D82=""),"",C82+D82)</f>
        <v/>
      </c>
      <c r="F82" s="40" t="str">
        <f aca="false">IF(E82="","",IF(E82=0,0,C82/E82))</f>
        <v/>
      </c>
      <c r="G82" s="33"/>
      <c r="H82" s="33"/>
      <c r="I82" s="34" t="str">
        <f aca="false">IF(OR(E82="",G82="",H82=""),"",E82*(G82-H82))</f>
        <v/>
      </c>
      <c r="J82" s="36" t="str">
        <f aca="false">IF(F82="","",IF(OR(F82&lt;운용규칙!$B$10,F82&gt;운용규칙!$B$11),"리밸런싱 필요","OK"))</f>
        <v/>
      </c>
    </row>
    <row r="83" customFormat="false" ht="15" hidden="false" customHeight="false" outlineLevel="0" collapsed="false">
      <c r="A83" s="29"/>
      <c r="B83" s="28"/>
      <c r="C83" s="32"/>
      <c r="D83" s="32"/>
      <c r="E83" s="39" t="str">
        <f aca="false">IF(OR(C83="",D83=""),"",C83+D83)</f>
        <v/>
      </c>
      <c r="F83" s="40" t="str">
        <f aca="false">IF(E83="","",IF(E83=0,0,C83/E83))</f>
        <v/>
      </c>
      <c r="G83" s="33"/>
      <c r="H83" s="33"/>
      <c r="I83" s="34" t="str">
        <f aca="false">IF(OR(E83="",G83="",H83=""),"",E83*(G83-H83))</f>
        <v/>
      </c>
      <c r="J83" s="36" t="str">
        <f aca="false">IF(F83="","",IF(OR(F83&lt;운용규칙!$B$10,F83&gt;운용규칙!$B$11),"리밸런싱 필요","OK"))</f>
        <v/>
      </c>
    </row>
    <row r="84" customFormat="false" ht="15" hidden="false" customHeight="false" outlineLevel="0" collapsed="false">
      <c r="A84" s="29"/>
      <c r="B84" s="28"/>
      <c r="C84" s="32"/>
      <c r="D84" s="32"/>
      <c r="E84" s="39" t="str">
        <f aca="false">IF(OR(C84="",D84=""),"",C84+D84)</f>
        <v/>
      </c>
      <c r="F84" s="40" t="str">
        <f aca="false">IF(E84="","",IF(E84=0,0,C84/E84))</f>
        <v/>
      </c>
      <c r="G84" s="33"/>
      <c r="H84" s="33"/>
      <c r="I84" s="34" t="str">
        <f aca="false">IF(OR(E84="",G84="",H84=""),"",E84*(G84-H84))</f>
        <v/>
      </c>
      <c r="J84" s="36" t="str">
        <f aca="false">IF(F84="","",IF(OR(F84&lt;운용규칙!$B$10,F84&gt;운용규칙!$B$11),"리밸런싱 필요","OK"))</f>
        <v/>
      </c>
    </row>
    <row r="85" customFormat="false" ht="15" hidden="false" customHeight="false" outlineLevel="0" collapsed="false">
      <c r="A85" s="29"/>
      <c r="B85" s="28"/>
      <c r="C85" s="32"/>
      <c r="D85" s="32"/>
      <c r="E85" s="39" t="str">
        <f aca="false">IF(OR(C85="",D85=""),"",C85+D85)</f>
        <v/>
      </c>
      <c r="F85" s="40" t="str">
        <f aca="false">IF(E85="","",IF(E85=0,0,C85/E85))</f>
        <v/>
      </c>
      <c r="G85" s="33"/>
      <c r="H85" s="33"/>
      <c r="I85" s="34" t="str">
        <f aca="false">IF(OR(E85="",G85="",H85=""),"",E85*(G85-H85))</f>
        <v/>
      </c>
      <c r="J85" s="36" t="str">
        <f aca="false">IF(F85="","",IF(OR(F85&lt;운용규칙!$B$10,F85&gt;운용규칙!$B$11),"리밸런싱 필요","OK"))</f>
        <v/>
      </c>
    </row>
    <row r="86" customFormat="false" ht="15" hidden="false" customHeight="false" outlineLevel="0" collapsed="false">
      <c r="A86" s="29"/>
      <c r="B86" s="28"/>
      <c r="C86" s="32"/>
      <c r="D86" s="32"/>
      <c r="E86" s="39" t="str">
        <f aca="false">IF(OR(C86="",D86=""),"",C86+D86)</f>
        <v/>
      </c>
      <c r="F86" s="40" t="str">
        <f aca="false">IF(E86="","",IF(E86=0,0,C86/E86))</f>
        <v/>
      </c>
      <c r="G86" s="33"/>
      <c r="H86" s="33"/>
      <c r="I86" s="34" t="str">
        <f aca="false">IF(OR(E86="",G86="",H86=""),"",E86*(G86-H86))</f>
        <v/>
      </c>
      <c r="J86" s="36" t="str">
        <f aca="false">IF(F86="","",IF(OR(F86&lt;운용규칙!$B$10,F86&gt;운용규칙!$B$11),"리밸런싱 필요","OK"))</f>
        <v/>
      </c>
    </row>
    <row r="87" customFormat="false" ht="15" hidden="false" customHeight="false" outlineLevel="0" collapsed="false">
      <c r="A87" s="29"/>
      <c r="B87" s="28"/>
      <c r="C87" s="32"/>
      <c r="D87" s="32"/>
      <c r="E87" s="39" t="str">
        <f aca="false">IF(OR(C87="",D87=""),"",C87+D87)</f>
        <v/>
      </c>
      <c r="F87" s="40" t="str">
        <f aca="false">IF(E87="","",IF(E87=0,0,C87/E87))</f>
        <v/>
      </c>
      <c r="G87" s="33"/>
      <c r="H87" s="33"/>
      <c r="I87" s="34" t="str">
        <f aca="false">IF(OR(E87="",G87="",H87=""),"",E87*(G87-H87))</f>
        <v/>
      </c>
      <c r="J87" s="36" t="str">
        <f aca="false">IF(F87="","",IF(OR(F87&lt;운용규칙!$B$10,F87&gt;운용규칙!$B$11),"리밸런싱 필요","OK"))</f>
        <v/>
      </c>
    </row>
    <row r="88" customFormat="false" ht="15" hidden="false" customHeight="false" outlineLevel="0" collapsed="false">
      <c r="A88" s="29"/>
      <c r="B88" s="28"/>
      <c r="C88" s="32"/>
      <c r="D88" s="32"/>
      <c r="E88" s="39" t="str">
        <f aca="false">IF(OR(C88="",D88=""),"",C88+D88)</f>
        <v/>
      </c>
      <c r="F88" s="40" t="str">
        <f aca="false">IF(E88="","",IF(E88=0,0,C88/E88))</f>
        <v/>
      </c>
      <c r="G88" s="33"/>
      <c r="H88" s="33"/>
      <c r="I88" s="34" t="str">
        <f aca="false">IF(OR(E88="",G88="",H88=""),"",E88*(G88-H88))</f>
        <v/>
      </c>
      <c r="J88" s="36" t="str">
        <f aca="false">IF(F88="","",IF(OR(F88&lt;운용규칙!$B$10,F88&gt;운용규칙!$B$11),"리밸런싱 필요","OK"))</f>
        <v/>
      </c>
    </row>
    <row r="89" customFormat="false" ht="15" hidden="false" customHeight="false" outlineLevel="0" collapsed="false">
      <c r="A89" s="29"/>
      <c r="B89" s="28"/>
      <c r="C89" s="32"/>
      <c r="D89" s="32"/>
      <c r="E89" s="39" t="str">
        <f aca="false">IF(OR(C89="",D89=""),"",C89+D89)</f>
        <v/>
      </c>
      <c r="F89" s="40" t="str">
        <f aca="false">IF(E89="","",IF(E89=0,0,C89/E89))</f>
        <v/>
      </c>
      <c r="G89" s="33"/>
      <c r="H89" s="33"/>
      <c r="I89" s="34" t="str">
        <f aca="false">IF(OR(E89="",G89="",H89=""),"",E89*(G89-H89))</f>
        <v/>
      </c>
      <c r="J89" s="36" t="str">
        <f aca="false">IF(F89="","",IF(OR(F89&lt;운용규칙!$B$10,F89&gt;운용규칙!$B$11),"리밸런싱 필요","OK"))</f>
        <v/>
      </c>
    </row>
    <row r="90" customFormat="false" ht="15" hidden="false" customHeight="false" outlineLevel="0" collapsed="false">
      <c r="A90" s="29"/>
      <c r="B90" s="28"/>
      <c r="C90" s="32"/>
      <c r="D90" s="32"/>
      <c r="E90" s="39" t="str">
        <f aca="false">IF(OR(C90="",D90=""),"",C90+D90)</f>
        <v/>
      </c>
      <c r="F90" s="40" t="str">
        <f aca="false">IF(E90="","",IF(E90=0,0,C90/E90))</f>
        <v/>
      </c>
      <c r="G90" s="33"/>
      <c r="H90" s="33"/>
      <c r="I90" s="34" t="str">
        <f aca="false">IF(OR(E90="",G90="",H90=""),"",E90*(G90-H90))</f>
        <v/>
      </c>
      <c r="J90" s="36" t="str">
        <f aca="false">IF(F90="","",IF(OR(F90&lt;운용규칙!$B$10,F90&gt;운용규칙!$B$11),"리밸런싱 필요","OK"))</f>
        <v/>
      </c>
    </row>
    <row r="91" customFormat="false" ht="15" hidden="false" customHeight="false" outlineLevel="0" collapsed="false">
      <c r="A91" s="29"/>
      <c r="B91" s="28"/>
      <c r="C91" s="32"/>
      <c r="D91" s="32"/>
      <c r="E91" s="39" t="str">
        <f aca="false">IF(OR(C91="",D91=""),"",C91+D91)</f>
        <v/>
      </c>
      <c r="F91" s="40" t="str">
        <f aca="false">IF(E91="","",IF(E91=0,0,C91/E91))</f>
        <v/>
      </c>
      <c r="G91" s="33"/>
      <c r="H91" s="33"/>
      <c r="I91" s="34" t="str">
        <f aca="false">IF(OR(E91="",G91="",H91=""),"",E91*(G91-H91))</f>
        <v/>
      </c>
      <c r="J91" s="36" t="str">
        <f aca="false">IF(F91="","",IF(OR(F91&lt;운용규칙!$B$10,F91&gt;운용규칙!$B$11),"리밸런싱 필요","OK"))</f>
        <v/>
      </c>
    </row>
    <row r="92" customFormat="false" ht="15" hidden="false" customHeight="false" outlineLevel="0" collapsed="false">
      <c r="A92" s="29"/>
      <c r="B92" s="28"/>
      <c r="C92" s="32"/>
      <c r="D92" s="32"/>
      <c r="E92" s="39" t="str">
        <f aca="false">IF(OR(C92="",D92=""),"",C92+D92)</f>
        <v/>
      </c>
      <c r="F92" s="40" t="str">
        <f aca="false">IF(E92="","",IF(E92=0,0,C92/E92))</f>
        <v/>
      </c>
      <c r="G92" s="33"/>
      <c r="H92" s="33"/>
      <c r="I92" s="34" t="str">
        <f aca="false">IF(OR(E92="",G92="",H92=""),"",E92*(G92-H92))</f>
        <v/>
      </c>
      <c r="J92" s="36" t="str">
        <f aca="false">IF(F92="","",IF(OR(F92&lt;운용규칙!$B$10,F92&gt;운용규칙!$B$11),"리밸런싱 필요","OK"))</f>
        <v/>
      </c>
    </row>
    <row r="93" customFormat="false" ht="15" hidden="false" customHeight="false" outlineLevel="0" collapsed="false">
      <c r="A93" s="29"/>
      <c r="B93" s="28"/>
      <c r="C93" s="32"/>
      <c r="D93" s="32"/>
      <c r="E93" s="39" t="str">
        <f aca="false">IF(OR(C93="",D93=""),"",C93+D93)</f>
        <v/>
      </c>
      <c r="F93" s="40" t="str">
        <f aca="false">IF(E93="","",IF(E93=0,0,C93/E93))</f>
        <v/>
      </c>
      <c r="G93" s="33"/>
      <c r="H93" s="33"/>
      <c r="I93" s="34" t="str">
        <f aca="false">IF(OR(E93="",G93="",H93=""),"",E93*(G93-H93))</f>
        <v/>
      </c>
      <c r="J93" s="36" t="str">
        <f aca="false">IF(F93="","",IF(OR(F93&lt;운용규칙!$B$10,F93&gt;운용규칙!$B$11),"리밸런싱 필요","OK"))</f>
        <v/>
      </c>
    </row>
    <row r="94" customFormat="false" ht="15" hidden="false" customHeight="false" outlineLevel="0" collapsed="false">
      <c r="A94" s="29"/>
      <c r="B94" s="28"/>
      <c r="C94" s="32"/>
      <c r="D94" s="32"/>
      <c r="E94" s="39" t="str">
        <f aca="false">IF(OR(C94="",D94=""),"",C94+D94)</f>
        <v/>
      </c>
      <c r="F94" s="40" t="str">
        <f aca="false">IF(E94="","",IF(E94=0,0,C94/E94))</f>
        <v/>
      </c>
      <c r="G94" s="33"/>
      <c r="H94" s="33"/>
      <c r="I94" s="34" t="str">
        <f aca="false">IF(OR(E94="",G94="",H94=""),"",E94*(G94-H94))</f>
        <v/>
      </c>
      <c r="J94" s="36" t="str">
        <f aca="false">IF(F94="","",IF(OR(F94&lt;운용규칙!$B$10,F94&gt;운용규칙!$B$11),"리밸런싱 필요","OK"))</f>
        <v/>
      </c>
    </row>
    <row r="95" customFormat="false" ht="15" hidden="false" customHeight="false" outlineLevel="0" collapsed="false">
      <c r="A95" s="29"/>
      <c r="B95" s="28"/>
      <c r="C95" s="32"/>
      <c r="D95" s="32"/>
      <c r="E95" s="39" t="str">
        <f aca="false">IF(OR(C95="",D95=""),"",C95+D95)</f>
        <v/>
      </c>
      <c r="F95" s="40" t="str">
        <f aca="false">IF(E95="","",IF(E95=0,0,C95/E95))</f>
        <v/>
      </c>
      <c r="G95" s="33"/>
      <c r="H95" s="33"/>
      <c r="I95" s="34" t="str">
        <f aca="false">IF(OR(E95="",G95="",H95=""),"",E95*(G95-H95))</f>
        <v/>
      </c>
      <c r="J95" s="36" t="str">
        <f aca="false">IF(F95="","",IF(OR(F95&lt;운용규칙!$B$10,F95&gt;운용규칙!$B$11),"리밸런싱 필요","OK"))</f>
        <v/>
      </c>
    </row>
    <row r="96" customFormat="false" ht="15" hidden="false" customHeight="false" outlineLevel="0" collapsed="false">
      <c r="A96" s="29"/>
      <c r="B96" s="28"/>
      <c r="C96" s="32"/>
      <c r="D96" s="32"/>
      <c r="E96" s="39" t="str">
        <f aca="false">IF(OR(C96="",D96=""),"",C96+D96)</f>
        <v/>
      </c>
      <c r="F96" s="40" t="str">
        <f aca="false">IF(E96="","",IF(E96=0,0,C96/E96))</f>
        <v/>
      </c>
      <c r="G96" s="33"/>
      <c r="H96" s="33"/>
      <c r="I96" s="34" t="str">
        <f aca="false">IF(OR(E96="",G96="",H96=""),"",E96*(G96-H96))</f>
        <v/>
      </c>
      <c r="J96" s="36" t="str">
        <f aca="false">IF(F96="","",IF(OR(F96&lt;운용규칙!$B$10,F96&gt;운용규칙!$B$11),"리밸런싱 필요","OK"))</f>
        <v/>
      </c>
    </row>
    <row r="97" customFormat="false" ht="15" hidden="false" customHeight="false" outlineLevel="0" collapsed="false">
      <c r="A97" s="29"/>
      <c r="B97" s="28"/>
      <c r="C97" s="32"/>
      <c r="D97" s="32"/>
      <c r="E97" s="39" t="str">
        <f aca="false">IF(OR(C97="",D97=""),"",C97+D97)</f>
        <v/>
      </c>
      <c r="F97" s="40" t="str">
        <f aca="false">IF(E97="","",IF(E97=0,0,C97/E97))</f>
        <v/>
      </c>
      <c r="G97" s="33"/>
      <c r="H97" s="33"/>
      <c r="I97" s="34" t="str">
        <f aca="false">IF(OR(E97="",G97="",H97=""),"",E97*(G97-H97))</f>
        <v/>
      </c>
      <c r="J97" s="36" t="str">
        <f aca="false">IF(F97="","",IF(OR(F97&lt;운용규칙!$B$10,F97&gt;운용규칙!$B$11),"리밸런싱 필요","OK"))</f>
        <v/>
      </c>
    </row>
    <row r="98" customFormat="false" ht="15" hidden="false" customHeight="false" outlineLevel="0" collapsed="false">
      <c r="A98" s="29"/>
      <c r="B98" s="28"/>
      <c r="C98" s="32"/>
      <c r="D98" s="32"/>
      <c r="E98" s="39" t="str">
        <f aca="false">IF(OR(C98="",D98=""),"",C98+D98)</f>
        <v/>
      </c>
      <c r="F98" s="40" t="str">
        <f aca="false">IF(E98="","",IF(E98=0,0,C98/E98))</f>
        <v/>
      </c>
      <c r="G98" s="33"/>
      <c r="H98" s="33"/>
      <c r="I98" s="34" t="str">
        <f aca="false">IF(OR(E98="",G98="",H98=""),"",E98*(G98-H98))</f>
        <v/>
      </c>
      <c r="J98" s="36" t="str">
        <f aca="false">IF(F98="","",IF(OR(F98&lt;운용규칙!$B$10,F98&gt;운용규칙!$B$11),"리밸런싱 필요","OK"))</f>
        <v/>
      </c>
    </row>
    <row r="99" customFormat="false" ht="15" hidden="false" customHeight="false" outlineLevel="0" collapsed="false">
      <c r="A99" s="29"/>
      <c r="B99" s="28"/>
      <c r="C99" s="32"/>
      <c r="D99" s="32"/>
      <c r="E99" s="39" t="str">
        <f aca="false">IF(OR(C99="",D99=""),"",C99+D99)</f>
        <v/>
      </c>
      <c r="F99" s="40" t="str">
        <f aca="false">IF(E99="","",IF(E99=0,0,C99/E99))</f>
        <v/>
      </c>
      <c r="G99" s="33"/>
      <c r="H99" s="33"/>
      <c r="I99" s="34" t="str">
        <f aca="false">IF(OR(E99="",G99="",H99=""),"",E99*(G99-H99))</f>
        <v/>
      </c>
      <c r="J99" s="36" t="str">
        <f aca="false">IF(F99="","",IF(OR(F99&lt;운용규칙!$B$10,F99&gt;운용규칙!$B$11),"리밸런싱 필요","OK"))</f>
        <v/>
      </c>
    </row>
    <row r="100" customFormat="false" ht="15" hidden="false" customHeight="false" outlineLevel="0" collapsed="false">
      <c r="A100" s="29"/>
      <c r="B100" s="28"/>
      <c r="C100" s="32"/>
      <c r="D100" s="32"/>
      <c r="E100" s="39" t="str">
        <f aca="false">IF(OR(C100="",D100=""),"",C100+D100)</f>
        <v/>
      </c>
      <c r="F100" s="40" t="str">
        <f aca="false">IF(E100="","",IF(E100=0,0,C100/E100))</f>
        <v/>
      </c>
      <c r="G100" s="33"/>
      <c r="H100" s="33"/>
      <c r="I100" s="34" t="str">
        <f aca="false">IF(OR(E100="",G100="",H100=""),"",E100*(G100-H100))</f>
        <v/>
      </c>
      <c r="J100" s="36" t="str">
        <f aca="false">IF(F100="","",IF(OR(F100&lt;운용규칙!$B$10,F100&gt;운용규칙!$B$11),"리밸런싱 필요","OK"))</f>
        <v/>
      </c>
    </row>
    <row r="101" customFormat="false" ht="15" hidden="false" customHeight="false" outlineLevel="0" collapsed="false">
      <c r="A101" s="29"/>
      <c r="B101" s="28"/>
      <c r="C101" s="32"/>
      <c r="D101" s="32"/>
      <c r="E101" s="39" t="str">
        <f aca="false">IF(OR(C101="",D101=""),"",C101+D101)</f>
        <v/>
      </c>
      <c r="F101" s="40" t="str">
        <f aca="false">IF(E101="","",IF(E101=0,0,C101/E101))</f>
        <v/>
      </c>
      <c r="G101" s="33"/>
      <c r="H101" s="33"/>
      <c r="I101" s="34" t="str">
        <f aca="false">IF(OR(E101="",G101="",H101=""),"",E101*(G101-H101))</f>
        <v/>
      </c>
      <c r="J101" s="36" t="str">
        <f aca="false">IF(F101="","",IF(OR(F101&lt;운용규칙!$B$10,F101&gt;운용규칙!$B$11),"리밸런싱 필요","OK"))</f>
        <v/>
      </c>
    </row>
    <row r="102" customFormat="false" ht="15" hidden="false" customHeight="false" outlineLevel="0" collapsed="false">
      <c r="A102" s="29"/>
      <c r="B102" s="28"/>
      <c r="C102" s="32"/>
      <c r="D102" s="32"/>
      <c r="E102" s="39" t="str">
        <f aca="false">IF(OR(C102="",D102=""),"",C102+D102)</f>
        <v/>
      </c>
      <c r="F102" s="40" t="str">
        <f aca="false">IF(E102="","",IF(E102=0,0,C102/E102))</f>
        <v/>
      </c>
      <c r="G102" s="33"/>
      <c r="H102" s="33"/>
      <c r="I102" s="34" t="str">
        <f aca="false">IF(OR(E102="",G102="",H102=""),"",E102*(G102-H102))</f>
        <v/>
      </c>
      <c r="J102" s="36" t="str">
        <f aca="false">IF(F102="","",IF(OR(F102&lt;운용규칙!$B$10,F102&gt;운용규칙!$B$11),"리밸런싱 필요","OK"))</f>
        <v/>
      </c>
    </row>
    <row r="103" customFormat="false" ht="15" hidden="false" customHeight="false" outlineLevel="0" collapsed="false">
      <c r="A103" s="29"/>
      <c r="B103" s="28"/>
      <c r="C103" s="32"/>
      <c r="D103" s="32"/>
      <c r="E103" s="39" t="str">
        <f aca="false">IF(OR(C103="",D103=""),"",C103+D103)</f>
        <v/>
      </c>
      <c r="F103" s="40" t="str">
        <f aca="false">IF(E103="","",IF(E103=0,0,C103/E103))</f>
        <v/>
      </c>
      <c r="G103" s="33"/>
      <c r="H103" s="33"/>
      <c r="I103" s="34" t="str">
        <f aca="false">IF(OR(E103="",G103="",H103=""),"",E103*(G103-H103))</f>
        <v/>
      </c>
      <c r="J103" s="36" t="str">
        <f aca="false">IF(F103="","",IF(OR(F103&lt;운용규칙!$B$10,F103&gt;운용규칙!$B$11),"리밸런싱 필요","OK"))</f>
        <v/>
      </c>
    </row>
    <row r="104" customFormat="false" ht="15" hidden="false" customHeight="false" outlineLevel="0" collapsed="false">
      <c r="A104" s="29"/>
      <c r="B104" s="28"/>
      <c r="C104" s="32"/>
      <c r="D104" s="32"/>
      <c r="E104" s="39" t="str">
        <f aca="false">IF(OR(C104="",D104=""),"",C104+D104)</f>
        <v/>
      </c>
      <c r="F104" s="40" t="str">
        <f aca="false">IF(E104="","",IF(E104=0,0,C104/E104))</f>
        <v/>
      </c>
      <c r="G104" s="33"/>
      <c r="H104" s="33"/>
      <c r="I104" s="34" t="str">
        <f aca="false">IF(OR(E104="",G104="",H104=""),"",E104*(G104-H104))</f>
        <v/>
      </c>
      <c r="J104" s="36" t="str">
        <f aca="false">IF(F104="","",IF(OR(F104&lt;운용규칙!$B$10,F104&gt;운용규칙!$B$11),"리밸런싱 필요","OK"))</f>
        <v/>
      </c>
    </row>
    <row r="105" customFormat="false" ht="15" hidden="false" customHeight="false" outlineLevel="0" collapsed="false">
      <c r="A105" s="29"/>
      <c r="B105" s="28"/>
      <c r="C105" s="32"/>
      <c r="D105" s="32"/>
      <c r="E105" s="39" t="str">
        <f aca="false">IF(OR(C105="",D105=""),"",C105+D105)</f>
        <v/>
      </c>
      <c r="F105" s="40" t="str">
        <f aca="false">IF(E105="","",IF(E105=0,0,C105/E105))</f>
        <v/>
      </c>
      <c r="G105" s="33"/>
      <c r="H105" s="33"/>
      <c r="I105" s="34" t="str">
        <f aca="false">IF(OR(E105="",G105="",H105=""),"",E105*(G105-H105))</f>
        <v/>
      </c>
      <c r="J105" s="36" t="str">
        <f aca="false">IF(F105="","",IF(OR(F105&lt;운용규칙!$B$10,F105&gt;운용규칙!$B$11),"리밸런싱 필요","OK"))</f>
        <v/>
      </c>
    </row>
    <row r="106" customFormat="false" ht="15" hidden="false" customHeight="false" outlineLevel="0" collapsed="false">
      <c r="A106" s="29"/>
      <c r="B106" s="28"/>
      <c r="C106" s="32"/>
      <c r="D106" s="32"/>
      <c r="E106" s="39" t="str">
        <f aca="false">IF(OR(C106="",D106=""),"",C106+D106)</f>
        <v/>
      </c>
      <c r="F106" s="40" t="str">
        <f aca="false">IF(E106="","",IF(E106=0,0,C106/E106))</f>
        <v/>
      </c>
      <c r="G106" s="33"/>
      <c r="H106" s="33"/>
      <c r="I106" s="34" t="str">
        <f aca="false">IF(OR(E106="",G106="",H106=""),"",E106*(G106-H106))</f>
        <v/>
      </c>
      <c r="J106" s="36" t="str">
        <f aca="false">IF(F106="","",IF(OR(F106&lt;운용규칙!$B$10,F106&gt;운용규칙!$B$11),"리밸런싱 필요","OK"))</f>
        <v/>
      </c>
    </row>
    <row r="107" customFormat="false" ht="15" hidden="false" customHeight="false" outlineLevel="0" collapsed="false">
      <c r="A107" s="29"/>
      <c r="B107" s="28"/>
      <c r="C107" s="32"/>
      <c r="D107" s="32"/>
      <c r="E107" s="39" t="str">
        <f aca="false">IF(OR(C107="",D107=""),"",C107+D107)</f>
        <v/>
      </c>
      <c r="F107" s="40" t="str">
        <f aca="false">IF(E107="","",IF(E107=0,0,C107/E107))</f>
        <v/>
      </c>
      <c r="G107" s="33"/>
      <c r="H107" s="33"/>
      <c r="I107" s="34" t="str">
        <f aca="false">IF(OR(E107="",G107="",H107=""),"",E107*(G107-H107))</f>
        <v/>
      </c>
      <c r="J107" s="36" t="str">
        <f aca="false">IF(F107="","",IF(OR(F107&lt;운용규칙!$B$10,F107&gt;운용규칙!$B$11),"리밸런싱 필요","OK"))</f>
        <v/>
      </c>
    </row>
    <row r="108" customFormat="false" ht="15" hidden="false" customHeight="false" outlineLevel="0" collapsed="false">
      <c r="A108" s="29"/>
      <c r="B108" s="28"/>
      <c r="C108" s="32"/>
      <c r="D108" s="32"/>
      <c r="E108" s="39" t="str">
        <f aca="false">IF(OR(C108="",D108=""),"",C108+D108)</f>
        <v/>
      </c>
      <c r="F108" s="40" t="str">
        <f aca="false">IF(E108="","",IF(E108=0,0,C108/E108))</f>
        <v/>
      </c>
      <c r="G108" s="33"/>
      <c r="H108" s="33"/>
      <c r="I108" s="34" t="str">
        <f aca="false">IF(OR(E108="",G108="",H108=""),"",E108*(G108-H108))</f>
        <v/>
      </c>
      <c r="J108" s="36" t="str">
        <f aca="false">IF(F108="","",IF(OR(F108&lt;운용규칙!$B$10,F108&gt;운용규칙!$B$11),"리밸런싱 필요","OK"))</f>
        <v/>
      </c>
    </row>
    <row r="109" customFormat="false" ht="15" hidden="false" customHeight="false" outlineLevel="0" collapsed="false">
      <c r="A109" s="29"/>
      <c r="B109" s="28"/>
      <c r="C109" s="32"/>
      <c r="D109" s="32"/>
      <c r="E109" s="39" t="str">
        <f aca="false">IF(OR(C109="",D109=""),"",C109+D109)</f>
        <v/>
      </c>
      <c r="F109" s="40" t="str">
        <f aca="false">IF(E109="","",IF(E109=0,0,C109/E109))</f>
        <v/>
      </c>
      <c r="G109" s="33"/>
      <c r="H109" s="33"/>
      <c r="I109" s="34" t="str">
        <f aca="false">IF(OR(E109="",G109="",H109=""),"",E109*(G109-H109))</f>
        <v/>
      </c>
      <c r="J109" s="36" t="str">
        <f aca="false">IF(F109="","",IF(OR(F109&lt;운용규칙!$B$10,F109&gt;운용규칙!$B$11),"리밸런싱 필요","OK"))</f>
        <v/>
      </c>
    </row>
    <row r="110" customFormat="false" ht="15" hidden="false" customHeight="false" outlineLevel="0" collapsed="false">
      <c r="A110" s="29"/>
      <c r="B110" s="28"/>
      <c r="C110" s="32"/>
      <c r="D110" s="32"/>
      <c r="E110" s="39" t="str">
        <f aca="false">IF(OR(C110="",D110=""),"",C110+D110)</f>
        <v/>
      </c>
      <c r="F110" s="40" t="str">
        <f aca="false">IF(E110="","",IF(E110=0,0,C110/E110))</f>
        <v/>
      </c>
      <c r="G110" s="33"/>
      <c r="H110" s="33"/>
      <c r="I110" s="34" t="str">
        <f aca="false">IF(OR(E110="",G110="",H110=""),"",E110*(G110-H110))</f>
        <v/>
      </c>
      <c r="J110" s="36" t="str">
        <f aca="false">IF(F110="","",IF(OR(F110&lt;운용규칙!$B$10,F110&gt;운용규칙!$B$11),"리밸런싱 필요","OK"))</f>
        <v/>
      </c>
    </row>
    <row r="111" customFormat="false" ht="15" hidden="false" customHeight="false" outlineLevel="0" collapsed="false">
      <c r="A111" s="29"/>
      <c r="B111" s="28"/>
      <c r="C111" s="32"/>
      <c r="D111" s="32"/>
      <c r="E111" s="39" t="str">
        <f aca="false">IF(OR(C111="",D111=""),"",C111+D111)</f>
        <v/>
      </c>
      <c r="F111" s="40" t="str">
        <f aca="false">IF(E111="","",IF(E111=0,0,C111/E111))</f>
        <v/>
      </c>
      <c r="G111" s="33"/>
      <c r="H111" s="33"/>
      <c r="I111" s="34" t="str">
        <f aca="false">IF(OR(E111="",G111="",H111=""),"",E111*(G111-H111))</f>
        <v/>
      </c>
      <c r="J111" s="36" t="str">
        <f aca="false">IF(F111="","",IF(OR(F111&lt;운용규칙!$B$10,F111&gt;운용규칙!$B$11),"리밸런싱 필요","OK"))</f>
        <v/>
      </c>
    </row>
    <row r="112" customFormat="false" ht="15" hidden="false" customHeight="false" outlineLevel="0" collapsed="false">
      <c r="A112" s="29"/>
      <c r="B112" s="28"/>
      <c r="C112" s="32"/>
      <c r="D112" s="32"/>
      <c r="E112" s="39" t="str">
        <f aca="false">IF(OR(C112="",D112=""),"",C112+D112)</f>
        <v/>
      </c>
      <c r="F112" s="40" t="str">
        <f aca="false">IF(E112="","",IF(E112=0,0,C112/E112))</f>
        <v/>
      </c>
      <c r="G112" s="33"/>
      <c r="H112" s="33"/>
      <c r="I112" s="34" t="str">
        <f aca="false">IF(OR(E112="",G112="",H112=""),"",E112*(G112-H112))</f>
        <v/>
      </c>
      <c r="J112" s="36" t="str">
        <f aca="false">IF(F112="","",IF(OR(F112&lt;운용규칙!$B$10,F112&gt;운용규칙!$B$11),"리밸런싱 필요","OK"))</f>
        <v/>
      </c>
    </row>
    <row r="113" customFormat="false" ht="15" hidden="false" customHeight="false" outlineLevel="0" collapsed="false">
      <c r="A113" s="29"/>
      <c r="B113" s="28"/>
      <c r="C113" s="32"/>
      <c r="D113" s="32"/>
      <c r="E113" s="39" t="str">
        <f aca="false">IF(OR(C113="",D113=""),"",C113+D113)</f>
        <v/>
      </c>
      <c r="F113" s="40" t="str">
        <f aca="false">IF(E113="","",IF(E113=0,0,C113/E113))</f>
        <v/>
      </c>
      <c r="G113" s="33"/>
      <c r="H113" s="33"/>
      <c r="I113" s="34" t="str">
        <f aca="false">IF(OR(E113="",G113="",H113=""),"",E113*(G113-H113))</f>
        <v/>
      </c>
      <c r="J113" s="36" t="str">
        <f aca="false">IF(F113="","",IF(OR(F113&lt;운용규칙!$B$10,F113&gt;운용규칙!$B$11),"리밸런싱 필요","OK"))</f>
        <v/>
      </c>
    </row>
    <row r="114" customFormat="false" ht="15" hidden="false" customHeight="false" outlineLevel="0" collapsed="false">
      <c r="A114" s="29"/>
      <c r="B114" s="28"/>
      <c r="C114" s="32"/>
      <c r="D114" s="32"/>
      <c r="E114" s="39" t="str">
        <f aca="false">IF(OR(C114="",D114=""),"",C114+D114)</f>
        <v/>
      </c>
      <c r="F114" s="40" t="str">
        <f aca="false">IF(E114="","",IF(E114=0,0,C114/E114))</f>
        <v/>
      </c>
      <c r="G114" s="33"/>
      <c r="H114" s="33"/>
      <c r="I114" s="34" t="str">
        <f aca="false">IF(OR(E114="",G114="",H114=""),"",E114*(G114-H114))</f>
        <v/>
      </c>
      <c r="J114" s="36" t="str">
        <f aca="false">IF(F114="","",IF(OR(F114&lt;운용규칙!$B$10,F114&gt;운용규칙!$B$11),"리밸런싱 필요","OK"))</f>
        <v/>
      </c>
    </row>
    <row r="115" customFormat="false" ht="15" hidden="false" customHeight="false" outlineLevel="0" collapsed="false">
      <c r="A115" s="29"/>
      <c r="B115" s="28"/>
      <c r="C115" s="32"/>
      <c r="D115" s="32"/>
      <c r="E115" s="39" t="str">
        <f aca="false">IF(OR(C115="",D115=""),"",C115+D115)</f>
        <v/>
      </c>
      <c r="F115" s="40" t="str">
        <f aca="false">IF(E115="","",IF(E115=0,0,C115/E115))</f>
        <v/>
      </c>
      <c r="G115" s="33"/>
      <c r="H115" s="33"/>
      <c r="I115" s="34" t="str">
        <f aca="false">IF(OR(E115="",G115="",H115=""),"",E115*(G115-H115))</f>
        <v/>
      </c>
      <c r="J115" s="36" t="str">
        <f aca="false">IF(F115="","",IF(OR(F115&lt;운용규칙!$B$10,F115&gt;운용규칙!$B$11),"리밸런싱 필요","OK"))</f>
        <v/>
      </c>
    </row>
    <row r="116" customFormat="false" ht="15" hidden="false" customHeight="false" outlineLevel="0" collapsed="false">
      <c r="A116" s="29"/>
      <c r="B116" s="28"/>
      <c r="C116" s="32"/>
      <c r="D116" s="32"/>
      <c r="E116" s="39" t="str">
        <f aca="false">IF(OR(C116="",D116=""),"",C116+D116)</f>
        <v/>
      </c>
      <c r="F116" s="40" t="str">
        <f aca="false">IF(E116="","",IF(E116=0,0,C116/E116))</f>
        <v/>
      </c>
      <c r="G116" s="33"/>
      <c r="H116" s="33"/>
      <c r="I116" s="34" t="str">
        <f aca="false">IF(OR(E116="",G116="",H116=""),"",E116*(G116-H116))</f>
        <v/>
      </c>
      <c r="J116" s="36" t="str">
        <f aca="false">IF(F116="","",IF(OR(F116&lt;운용규칙!$B$10,F116&gt;운용규칙!$B$11),"리밸런싱 필요","OK"))</f>
        <v/>
      </c>
    </row>
    <row r="117" customFormat="false" ht="15" hidden="false" customHeight="false" outlineLevel="0" collapsed="false">
      <c r="A117" s="29"/>
      <c r="B117" s="28"/>
      <c r="C117" s="32"/>
      <c r="D117" s="32"/>
      <c r="E117" s="39" t="str">
        <f aca="false">IF(OR(C117="",D117=""),"",C117+D117)</f>
        <v/>
      </c>
      <c r="F117" s="40" t="str">
        <f aca="false">IF(E117="","",IF(E117=0,0,C117/E117))</f>
        <v/>
      </c>
      <c r="G117" s="33"/>
      <c r="H117" s="33"/>
      <c r="I117" s="34" t="str">
        <f aca="false">IF(OR(E117="",G117="",H117=""),"",E117*(G117-H117))</f>
        <v/>
      </c>
      <c r="J117" s="36" t="str">
        <f aca="false">IF(F117="","",IF(OR(F117&lt;운용규칙!$B$10,F117&gt;운용규칙!$B$11),"리밸런싱 필요","OK"))</f>
        <v/>
      </c>
    </row>
    <row r="118" customFormat="false" ht="15" hidden="false" customHeight="false" outlineLevel="0" collapsed="false">
      <c r="A118" s="29"/>
      <c r="B118" s="28"/>
      <c r="C118" s="32"/>
      <c r="D118" s="32"/>
      <c r="E118" s="39" t="str">
        <f aca="false">IF(OR(C118="",D118=""),"",C118+D118)</f>
        <v/>
      </c>
      <c r="F118" s="40" t="str">
        <f aca="false">IF(E118="","",IF(E118=0,0,C118/E118))</f>
        <v/>
      </c>
      <c r="G118" s="33"/>
      <c r="H118" s="33"/>
      <c r="I118" s="34" t="str">
        <f aca="false">IF(OR(E118="",G118="",H118=""),"",E118*(G118-H118))</f>
        <v/>
      </c>
      <c r="J118" s="36" t="str">
        <f aca="false">IF(F118="","",IF(OR(F118&lt;운용규칙!$B$10,F118&gt;운용규칙!$B$11),"리밸런싱 필요","OK"))</f>
        <v/>
      </c>
    </row>
    <row r="119" customFormat="false" ht="15" hidden="false" customHeight="false" outlineLevel="0" collapsed="false">
      <c r="A119" s="29"/>
      <c r="B119" s="28"/>
      <c r="C119" s="32"/>
      <c r="D119" s="32"/>
      <c r="E119" s="39" t="str">
        <f aca="false">IF(OR(C119="",D119=""),"",C119+D119)</f>
        <v/>
      </c>
      <c r="F119" s="40" t="str">
        <f aca="false">IF(E119="","",IF(E119=0,0,C119/E119))</f>
        <v/>
      </c>
      <c r="G119" s="33"/>
      <c r="H119" s="33"/>
      <c r="I119" s="34" t="str">
        <f aca="false">IF(OR(E119="",G119="",H119=""),"",E119*(G119-H119))</f>
        <v/>
      </c>
      <c r="J119" s="36" t="str">
        <f aca="false">IF(F119="","",IF(OR(F119&lt;운용규칙!$B$10,F119&gt;운용규칙!$B$11),"리밸런싱 필요","OK"))</f>
        <v/>
      </c>
    </row>
    <row r="120" customFormat="false" ht="15" hidden="false" customHeight="false" outlineLevel="0" collapsed="false">
      <c r="A120" s="29"/>
      <c r="B120" s="28"/>
      <c r="C120" s="32"/>
      <c r="D120" s="32"/>
      <c r="E120" s="39" t="str">
        <f aca="false">IF(OR(C120="",D120=""),"",C120+D120)</f>
        <v/>
      </c>
      <c r="F120" s="40" t="str">
        <f aca="false">IF(E120="","",IF(E120=0,0,C120/E120))</f>
        <v/>
      </c>
      <c r="G120" s="33"/>
      <c r="H120" s="33"/>
      <c r="I120" s="34" t="str">
        <f aca="false">IF(OR(E120="",G120="",H120=""),"",E120*(G120-H120))</f>
        <v/>
      </c>
      <c r="J120" s="36" t="str">
        <f aca="false">IF(F120="","",IF(OR(F120&lt;운용규칙!$B$10,F120&gt;운용규칙!$B$11),"리밸런싱 필요","OK"))</f>
        <v/>
      </c>
    </row>
    <row r="121" customFormat="false" ht="15" hidden="false" customHeight="false" outlineLevel="0" collapsed="false">
      <c r="A121" s="29"/>
      <c r="B121" s="28"/>
      <c r="C121" s="32"/>
      <c r="D121" s="32"/>
      <c r="E121" s="39" t="str">
        <f aca="false">IF(OR(C121="",D121=""),"",C121+D121)</f>
        <v/>
      </c>
      <c r="F121" s="40" t="str">
        <f aca="false">IF(E121="","",IF(E121=0,0,C121/E121))</f>
        <v/>
      </c>
      <c r="G121" s="33"/>
      <c r="H121" s="33"/>
      <c r="I121" s="34" t="str">
        <f aca="false">IF(OR(E121="",G121="",H121=""),"",E121*(G121-H121))</f>
        <v/>
      </c>
      <c r="J121" s="36" t="str">
        <f aca="false">IF(F121="","",IF(OR(F121&lt;운용규칙!$B$10,F121&gt;운용규칙!$B$11),"리밸런싱 필요","OK"))</f>
        <v/>
      </c>
    </row>
    <row r="122" customFormat="false" ht="15" hidden="false" customHeight="false" outlineLevel="0" collapsed="false">
      <c r="A122" s="29"/>
      <c r="B122" s="28"/>
      <c r="C122" s="32"/>
      <c r="D122" s="32"/>
      <c r="E122" s="39" t="str">
        <f aca="false">IF(OR(C122="",D122=""),"",C122+D122)</f>
        <v/>
      </c>
      <c r="F122" s="40" t="str">
        <f aca="false">IF(E122="","",IF(E122=0,0,C122/E122))</f>
        <v/>
      </c>
      <c r="G122" s="33"/>
      <c r="H122" s="33"/>
      <c r="I122" s="34" t="str">
        <f aca="false">IF(OR(E122="",G122="",H122=""),"",E122*(G122-H122))</f>
        <v/>
      </c>
      <c r="J122" s="36" t="str">
        <f aca="false">IF(F122="","",IF(OR(F122&lt;운용규칙!$B$10,F122&gt;운용규칙!$B$11),"리밸런싱 필요","OK"))</f>
        <v/>
      </c>
    </row>
    <row r="123" customFormat="false" ht="15" hidden="false" customHeight="false" outlineLevel="0" collapsed="false">
      <c r="A123" s="29"/>
      <c r="B123" s="28"/>
      <c r="C123" s="32"/>
      <c r="D123" s="32"/>
      <c r="E123" s="39" t="str">
        <f aca="false">IF(OR(C123="",D123=""),"",C123+D123)</f>
        <v/>
      </c>
      <c r="F123" s="40" t="str">
        <f aca="false">IF(E123="","",IF(E123=0,0,C123/E123))</f>
        <v/>
      </c>
      <c r="G123" s="33"/>
      <c r="H123" s="33"/>
      <c r="I123" s="34" t="str">
        <f aca="false">IF(OR(E123="",G123="",H123=""),"",E123*(G123-H123))</f>
        <v/>
      </c>
      <c r="J123" s="36" t="str">
        <f aca="false">IF(F123="","",IF(OR(F123&lt;운용규칙!$B$10,F123&gt;운용규칙!$B$11),"리밸런싱 필요","OK"))</f>
        <v/>
      </c>
    </row>
    <row r="124" customFormat="false" ht="15" hidden="false" customHeight="false" outlineLevel="0" collapsed="false">
      <c r="A124" s="29"/>
      <c r="B124" s="28"/>
      <c r="C124" s="32"/>
      <c r="D124" s="32"/>
      <c r="E124" s="39" t="str">
        <f aca="false">IF(OR(C124="",D124=""),"",C124+D124)</f>
        <v/>
      </c>
      <c r="F124" s="40" t="str">
        <f aca="false">IF(E124="","",IF(E124=0,0,C124/E124))</f>
        <v/>
      </c>
      <c r="G124" s="33"/>
      <c r="H124" s="33"/>
      <c r="I124" s="34" t="str">
        <f aca="false">IF(OR(E124="",G124="",H124=""),"",E124*(G124-H124))</f>
        <v/>
      </c>
      <c r="J124" s="36" t="str">
        <f aca="false">IF(F124="","",IF(OR(F124&lt;운용규칙!$B$10,F124&gt;운용규칙!$B$11),"리밸런싱 필요","OK"))</f>
        <v/>
      </c>
    </row>
    <row r="125" customFormat="false" ht="15" hidden="false" customHeight="false" outlineLevel="0" collapsed="false">
      <c r="A125" s="29"/>
      <c r="B125" s="28"/>
      <c r="C125" s="32"/>
      <c r="D125" s="32"/>
      <c r="E125" s="39" t="str">
        <f aca="false">IF(OR(C125="",D125=""),"",C125+D125)</f>
        <v/>
      </c>
      <c r="F125" s="40" t="str">
        <f aca="false">IF(E125="","",IF(E125=0,0,C125/E125))</f>
        <v/>
      </c>
      <c r="G125" s="33"/>
      <c r="H125" s="33"/>
      <c r="I125" s="34" t="str">
        <f aca="false">IF(OR(E125="",G125="",H125=""),"",E125*(G125-H125))</f>
        <v/>
      </c>
      <c r="J125" s="36" t="str">
        <f aca="false">IF(F125="","",IF(OR(F125&lt;운용규칙!$B$10,F125&gt;운용규칙!$B$11),"리밸런싱 필요","OK"))</f>
        <v/>
      </c>
    </row>
    <row r="126" customFormat="false" ht="15" hidden="false" customHeight="false" outlineLevel="0" collapsed="false">
      <c r="A126" s="29"/>
      <c r="B126" s="28"/>
      <c r="C126" s="32"/>
      <c r="D126" s="32"/>
      <c r="E126" s="39" t="str">
        <f aca="false">IF(OR(C126="",D126=""),"",C126+D126)</f>
        <v/>
      </c>
      <c r="F126" s="40" t="str">
        <f aca="false">IF(E126="","",IF(E126=0,0,C126/E126))</f>
        <v/>
      </c>
      <c r="G126" s="33"/>
      <c r="H126" s="33"/>
      <c r="I126" s="34" t="str">
        <f aca="false">IF(OR(E126="",G126="",H126=""),"",E126*(G126-H126))</f>
        <v/>
      </c>
      <c r="J126" s="36" t="str">
        <f aca="false">IF(F126="","",IF(OR(F126&lt;운용규칙!$B$10,F126&gt;운용규칙!$B$11),"리밸런싱 필요","OK"))</f>
        <v/>
      </c>
    </row>
    <row r="127" customFormat="false" ht="15" hidden="false" customHeight="false" outlineLevel="0" collapsed="false">
      <c r="A127" s="29"/>
      <c r="B127" s="28"/>
      <c r="C127" s="32"/>
      <c r="D127" s="32"/>
      <c r="E127" s="39" t="str">
        <f aca="false">IF(OR(C127="",D127=""),"",C127+D127)</f>
        <v/>
      </c>
      <c r="F127" s="40" t="str">
        <f aca="false">IF(E127="","",IF(E127=0,0,C127/E127))</f>
        <v/>
      </c>
      <c r="G127" s="33"/>
      <c r="H127" s="33"/>
      <c r="I127" s="34" t="str">
        <f aca="false">IF(OR(E127="",G127="",H127=""),"",E127*(G127-H127))</f>
        <v/>
      </c>
      <c r="J127" s="36" t="str">
        <f aca="false">IF(F127="","",IF(OR(F127&lt;운용규칙!$B$10,F127&gt;운용규칙!$B$11),"리밸런싱 필요","OK"))</f>
        <v/>
      </c>
    </row>
    <row r="128" customFormat="false" ht="15" hidden="false" customHeight="false" outlineLevel="0" collapsed="false">
      <c r="A128" s="29"/>
      <c r="B128" s="28"/>
      <c r="C128" s="32"/>
      <c r="D128" s="32"/>
      <c r="E128" s="39" t="str">
        <f aca="false">IF(OR(C128="",D128=""),"",C128+D128)</f>
        <v/>
      </c>
      <c r="F128" s="40" t="str">
        <f aca="false">IF(E128="","",IF(E128=0,0,C128/E128))</f>
        <v/>
      </c>
      <c r="G128" s="33"/>
      <c r="H128" s="33"/>
      <c r="I128" s="34" t="str">
        <f aca="false">IF(OR(E128="",G128="",H128=""),"",E128*(G128-H128))</f>
        <v/>
      </c>
      <c r="J128" s="36" t="str">
        <f aca="false">IF(F128="","",IF(OR(F128&lt;운용규칙!$B$10,F128&gt;운용규칙!$B$11),"리밸런싱 필요","OK"))</f>
        <v/>
      </c>
    </row>
    <row r="129" customFormat="false" ht="15" hidden="false" customHeight="false" outlineLevel="0" collapsed="false">
      <c r="A129" s="29"/>
      <c r="B129" s="28"/>
      <c r="C129" s="32"/>
      <c r="D129" s="32"/>
      <c r="E129" s="39" t="str">
        <f aca="false">IF(OR(C129="",D129=""),"",C129+D129)</f>
        <v/>
      </c>
      <c r="F129" s="40" t="str">
        <f aca="false">IF(E129="","",IF(E129=0,0,C129/E129))</f>
        <v/>
      </c>
      <c r="G129" s="33"/>
      <c r="H129" s="33"/>
      <c r="I129" s="34" t="str">
        <f aca="false">IF(OR(E129="",G129="",H129=""),"",E129*(G129-H129))</f>
        <v/>
      </c>
      <c r="J129" s="36" t="str">
        <f aca="false">IF(F129="","",IF(OR(F129&lt;운용규칙!$B$10,F129&gt;운용규칙!$B$11),"리밸런싱 필요","OK"))</f>
        <v/>
      </c>
    </row>
    <row r="130" customFormat="false" ht="15" hidden="false" customHeight="false" outlineLevel="0" collapsed="false">
      <c r="A130" s="29"/>
      <c r="B130" s="28"/>
      <c r="C130" s="32"/>
      <c r="D130" s="32"/>
      <c r="E130" s="39" t="str">
        <f aca="false">IF(OR(C130="",D130=""),"",C130+D130)</f>
        <v/>
      </c>
      <c r="F130" s="40" t="str">
        <f aca="false">IF(E130="","",IF(E130=0,0,C130/E130))</f>
        <v/>
      </c>
      <c r="G130" s="33"/>
      <c r="H130" s="33"/>
      <c r="I130" s="34" t="str">
        <f aca="false">IF(OR(E130="",G130="",H130=""),"",E130*(G130-H130))</f>
        <v/>
      </c>
      <c r="J130" s="36" t="str">
        <f aca="false">IF(F130="","",IF(OR(F130&lt;운용규칙!$B$10,F130&gt;운용규칙!$B$11),"리밸런싱 필요","OK"))</f>
        <v/>
      </c>
    </row>
    <row r="131" customFormat="false" ht="15" hidden="false" customHeight="false" outlineLevel="0" collapsed="false">
      <c r="A131" s="29"/>
      <c r="B131" s="28"/>
      <c r="C131" s="32"/>
      <c r="D131" s="32"/>
      <c r="E131" s="39" t="str">
        <f aca="false">IF(OR(C131="",D131=""),"",C131+D131)</f>
        <v/>
      </c>
      <c r="F131" s="40" t="str">
        <f aca="false">IF(E131="","",IF(E131=0,0,C131/E131))</f>
        <v/>
      </c>
      <c r="G131" s="33"/>
      <c r="H131" s="33"/>
      <c r="I131" s="34" t="str">
        <f aca="false">IF(OR(E131="",G131="",H131=""),"",E131*(G131-H131))</f>
        <v/>
      </c>
      <c r="J131" s="36" t="str">
        <f aca="false">IF(F131="","",IF(OR(F131&lt;운용규칙!$B$10,F131&gt;운용규칙!$B$11),"리밸런싱 필요","OK"))</f>
        <v/>
      </c>
    </row>
    <row r="132" customFormat="false" ht="15" hidden="false" customHeight="false" outlineLevel="0" collapsed="false">
      <c r="A132" s="29"/>
      <c r="B132" s="28"/>
      <c r="C132" s="32"/>
      <c r="D132" s="32"/>
      <c r="E132" s="39" t="str">
        <f aca="false">IF(OR(C132="",D132=""),"",C132+D132)</f>
        <v/>
      </c>
      <c r="F132" s="40" t="str">
        <f aca="false">IF(E132="","",IF(E132=0,0,C132/E132))</f>
        <v/>
      </c>
      <c r="G132" s="33"/>
      <c r="H132" s="33"/>
      <c r="I132" s="34" t="str">
        <f aca="false">IF(OR(E132="",G132="",H132=""),"",E132*(G132-H132))</f>
        <v/>
      </c>
      <c r="J132" s="36" t="str">
        <f aca="false">IF(F132="","",IF(OR(F132&lt;운용규칙!$B$10,F132&gt;운용규칙!$B$11),"리밸런싱 필요","OK"))</f>
        <v/>
      </c>
    </row>
    <row r="133" customFormat="false" ht="15" hidden="false" customHeight="false" outlineLevel="0" collapsed="false">
      <c r="A133" s="29"/>
      <c r="B133" s="28"/>
      <c r="C133" s="32"/>
      <c r="D133" s="32"/>
      <c r="E133" s="39" t="str">
        <f aca="false">IF(OR(C133="",D133=""),"",C133+D133)</f>
        <v/>
      </c>
      <c r="F133" s="40" t="str">
        <f aca="false">IF(E133="","",IF(E133=0,0,C133/E133))</f>
        <v/>
      </c>
      <c r="G133" s="33"/>
      <c r="H133" s="33"/>
      <c r="I133" s="34" t="str">
        <f aca="false">IF(OR(E133="",G133="",H133=""),"",E133*(G133-H133))</f>
        <v/>
      </c>
      <c r="J133" s="36" t="str">
        <f aca="false">IF(F133="","",IF(OR(F133&lt;운용규칙!$B$10,F133&gt;운용규칙!$B$11),"리밸런싱 필요","OK"))</f>
        <v/>
      </c>
    </row>
    <row r="134" customFormat="false" ht="15" hidden="false" customHeight="false" outlineLevel="0" collapsed="false">
      <c r="A134" s="29"/>
      <c r="B134" s="28"/>
      <c r="C134" s="32"/>
      <c r="D134" s="32"/>
      <c r="E134" s="39" t="str">
        <f aca="false">IF(OR(C134="",D134=""),"",C134+D134)</f>
        <v/>
      </c>
      <c r="F134" s="40" t="str">
        <f aca="false">IF(E134="","",IF(E134=0,0,C134/E134))</f>
        <v/>
      </c>
      <c r="G134" s="33"/>
      <c r="H134" s="33"/>
      <c r="I134" s="34" t="str">
        <f aca="false">IF(OR(E134="",G134="",H134=""),"",E134*(G134-H134))</f>
        <v/>
      </c>
      <c r="J134" s="36" t="str">
        <f aca="false">IF(F134="","",IF(OR(F134&lt;운용규칙!$B$10,F134&gt;운용규칙!$B$11),"리밸런싱 필요","OK"))</f>
        <v/>
      </c>
    </row>
    <row r="135" customFormat="false" ht="15" hidden="false" customHeight="false" outlineLevel="0" collapsed="false">
      <c r="A135" s="29"/>
      <c r="B135" s="28"/>
      <c r="C135" s="32"/>
      <c r="D135" s="32"/>
      <c r="E135" s="39" t="str">
        <f aca="false">IF(OR(C135="",D135=""),"",C135+D135)</f>
        <v/>
      </c>
      <c r="F135" s="40" t="str">
        <f aca="false">IF(E135="","",IF(E135=0,0,C135/E135))</f>
        <v/>
      </c>
      <c r="G135" s="33"/>
      <c r="H135" s="33"/>
      <c r="I135" s="34" t="str">
        <f aca="false">IF(OR(E135="",G135="",H135=""),"",E135*(G135-H135))</f>
        <v/>
      </c>
      <c r="J135" s="36" t="str">
        <f aca="false">IF(F135="","",IF(OR(F135&lt;운용규칙!$B$10,F135&gt;운용규칙!$B$11),"리밸런싱 필요","OK"))</f>
        <v/>
      </c>
    </row>
    <row r="136" customFormat="false" ht="15" hidden="false" customHeight="false" outlineLevel="0" collapsed="false">
      <c r="A136" s="29"/>
      <c r="B136" s="28"/>
      <c r="C136" s="32"/>
      <c r="D136" s="32"/>
      <c r="E136" s="39" t="str">
        <f aca="false">IF(OR(C136="",D136=""),"",C136+D136)</f>
        <v/>
      </c>
      <c r="F136" s="40" t="str">
        <f aca="false">IF(E136="","",IF(E136=0,0,C136/E136))</f>
        <v/>
      </c>
      <c r="G136" s="33"/>
      <c r="H136" s="33"/>
      <c r="I136" s="34" t="str">
        <f aca="false">IF(OR(E136="",G136="",H136=""),"",E136*(G136-H136))</f>
        <v/>
      </c>
      <c r="J136" s="36" t="str">
        <f aca="false">IF(F136="","",IF(OR(F136&lt;운용규칙!$B$10,F136&gt;운용규칙!$B$11),"리밸런싱 필요","OK"))</f>
        <v/>
      </c>
    </row>
    <row r="137" customFormat="false" ht="15" hidden="false" customHeight="false" outlineLevel="0" collapsed="false">
      <c r="A137" s="29"/>
      <c r="B137" s="28"/>
      <c r="C137" s="32"/>
      <c r="D137" s="32"/>
      <c r="E137" s="39" t="str">
        <f aca="false">IF(OR(C137="",D137=""),"",C137+D137)</f>
        <v/>
      </c>
      <c r="F137" s="40" t="str">
        <f aca="false">IF(E137="","",IF(E137=0,0,C137/E137))</f>
        <v/>
      </c>
      <c r="G137" s="33"/>
      <c r="H137" s="33"/>
      <c r="I137" s="34" t="str">
        <f aca="false">IF(OR(E137="",G137="",H137=""),"",E137*(G137-H137))</f>
        <v/>
      </c>
      <c r="J137" s="36" t="str">
        <f aca="false">IF(F137="","",IF(OR(F137&lt;운용규칙!$B$10,F137&gt;운용규칙!$B$11),"리밸런싱 필요","OK"))</f>
        <v/>
      </c>
    </row>
    <row r="138" customFormat="false" ht="15" hidden="false" customHeight="false" outlineLevel="0" collapsed="false">
      <c r="A138" s="29"/>
      <c r="B138" s="28"/>
      <c r="C138" s="32"/>
      <c r="D138" s="32"/>
      <c r="E138" s="39" t="str">
        <f aca="false">IF(OR(C138="",D138=""),"",C138+D138)</f>
        <v/>
      </c>
      <c r="F138" s="40" t="str">
        <f aca="false">IF(E138="","",IF(E138=0,0,C138/E138))</f>
        <v/>
      </c>
      <c r="G138" s="33"/>
      <c r="H138" s="33"/>
      <c r="I138" s="34" t="str">
        <f aca="false">IF(OR(E138="",G138="",H138=""),"",E138*(G138-H138))</f>
        <v/>
      </c>
      <c r="J138" s="36" t="str">
        <f aca="false">IF(F138="","",IF(OR(F138&lt;운용규칙!$B$10,F138&gt;운용규칙!$B$11),"리밸런싱 필요","OK"))</f>
        <v/>
      </c>
    </row>
    <row r="139" customFormat="false" ht="15" hidden="false" customHeight="false" outlineLevel="0" collapsed="false">
      <c r="A139" s="29"/>
      <c r="B139" s="28"/>
      <c r="C139" s="32"/>
      <c r="D139" s="32"/>
      <c r="E139" s="39" t="str">
        <f aca="false">IF(OR(C139="",D139=""),"",C139+D139)</f>
        <v/>
      </c>
      <c r="F139" s="40" t="str">
        <f aca="false">IF(E139="","",IF(E139=0,0,C139/E139))</f>
        <v/>
      </c>
      <c r="G139" s="33"/>
      <c r="H139" s="33"/>
      <c r="I139" s="34" t="str">
        <f aca="false">IF(OR(E139="",G139="",H139=""),"",E139*(G139-H139))</f>
        <v/>
      </c>
      <c r="J139" s="36" t="str">
        <f aca="false">IF(F139="","",IF(OR(F139&lt;운용규칙!$B$10,F139&gt;운용규칙!$B$11),"리밸런싱 필요","OK"))</f>
        <v/>
      </c>
    </row>
    <row r="140" customFormat="false" ht="15" hidden="false" customHeight="false" outlineLevel="0" collapsed="false">
      <c r="A140" s="29"/>
      <c r="B140" s="28"/>
      <c r="C140" s="32"/>
      <c r="D140" s="32"/>
      <c r="E140" s="39" t="str">
        <f aca="false">IF(OR(C140="",D140=""),"",C140+D140)</f>
        <v/>
      </c>
      <c r="F140" s="40" t="str">
        <f aca="false">IF(E140="","",IF(E140=0,0,C140/E140))</f>
        <v/>
      </c>
      <c r="G140" s="33"/>
      <c r="H140" s="33"/>
      <c r="I140" s="34" t="str">
        <f aca="false">IF(OR(E140="",G140="",H140=""),"",E140*(G140-H140))</f>
        <v/>
      </c>
      <c r="J140" s="36" t="str">
        <f aca="false">IF(F140="","",IF(OR(F140&lt;운용규칙!$B$10,F140&gt;운용규칙!$B$11),"리밸런싱 필요","OK"))</f>
        <v/>
      </c>
    </row>
    <row r="141" customFormat="false" ht="15" hidden="false" customHeight="false" outlineLevel="0" collapsed="false">
      <c r="A141" s="29"/>
      <c r="B141" s="28"/>
      <c r="C141" s="32"/>
      <c r="D141" s="32"/>
      <c r="E141" s="39" t="str">
        <f aca="false">IF(OR(C141="",D141=""),"",C141+D141)</f>
        <v/>
      </c>
      <c r="F141" s="40" t="str">
        <f aca="false">IF(E141="","",IF(E141=0,0,C141/E141))</f>
        <v/>
      </c>
      <c r="G141" s="33"/>
      <c r="H141" s="33"/>
      <c r="I141" s="34" t="str">
        <f aca="false">IF(OR(E141="",G141="",H141=""),"",E141*(G141-H141))</f>
        <v/>
      </c>
      <c r="J141" s="36" t="str">
        <f aca="false">IF(F141="","",IF(OR(F141&lt;운용규칙!$B$10,F141&gt;운용규칙!$B$11),"리밸런싱 필요","OK"))</f>
        <v/>
      </c>
    </row>
    <row r="142" customFormat="false" ht="15" hidden="false" customHeight="false" outlineLevel="0" collapsed="false">
      <c r="A142" s="29"/>
      <c r="B142" s="28"/>
      <c r="C142" s="32"/>
      <c r="D142" s="32"/>
      <c r="E142" s="39" t="str">
        <f aca="false">IF(OR(C142="",D142=""),"",C142+D142)</f>
        <v/>
      </c>
      <c r="F142" s="40" t="str">
        <f aca="false">IF(E142="","",IF(E142=0,0,C142/E142))</f>
        <v/>
      </c>
      <c r="G142" s="33"/>
      <c r="H142" s="33"/>
      <c r="I142" s="34" t="str">
        <f aca="false">IF(OR(E142="",G142="",H142=""),"",E142*(G142-H142))</f>
        <v/>
      </c>
      <c r="J142" s="36" t="str">
        <f aca="false">IF(F142="","",IF(OR(F142&lt;운용규칙!$B$10,F142&gt;운용규칙!$B$11),"리밸런싱 필요","OK"))</f>
        <v/>
      </c>
    </row>
    <row r="143" customFormat="false" ht="15" hidden="false" customHeight="false" outlineLevel="0" collapsed="false">
      <c r="A143" s="29"/>
      <c r="B143" s="28"/>
      <c r="C143" s="32"/>
      <c r="D143" s="32"/>
      <c r="E143" s="39" t="str">
        <f aca="false">IF(OR(C143="",D143=""),"",C143+D143)</f>
        <v/>
      </c>
      <c r="F143" s="40" t="str">
        <f aca="false">IF(E143="","",IF(E143=0,0,C143/E143))</f>
        <v/>
      </c>
      <c r="G143" s="33"/>
      <c r="H143" s="33"/>
      <c r="I143" s="34" t="str">
        <f aca="false">IF(OR(E143="",G143="",H143=""),"",E143*(G143-H143))</f>
        <v/>
      </c>
      <c r="J143" s="36" t="str">
        <f aca="false">IF(F143="","",IF(OR(F143&lt;운용규칙!$B$10,F143&gt;운용규칙!$B$11),"리밸런싱 필요","OK"))</f>
        <v/>
      </c>
    </row>
    <row r="144" customFormat="false" ht="15" hidden="false" customHeight="false" outlineLevel="0" collapsed="false">
      <c r="A144" s="29"/>
      <c r="B144" s="28"/>
      <c r="C144" s="32"/>
      <c r="D144" s="32"/>
      <c r="E144" s="39" t="str">
        <f aca="false">IF(OR(C144="",D144=""),"",C144+D144)</f>
        <v/>
      </c>
      <c r="F144" s="40" t="str">
        <f aca="false">IF(E144="","",IF(E144=0,0,C144/E144))</f>
        <v/>
      </c>
      <c r="G144" s="33"/>
      <c r="H144" s="33"/>
      <c r="I144" s="34" t="str">
        <f aca="false">IF(OR(E144="",G144="",H144=""),"",E144*(G144-H144))</f>
        <v/>
      </c>
      <c r="J144" s="36" t="str">
        <f aca="false">IF(F144="","",IF(OR(F144&lt;운용규칙!$B$10,F144&gt;운용규칙!$B$11),"리밸런싱 필요","OK"))</f>
        <v/>
      </c>
    </row>
    <row r="145" customFormat="false" ht="15" hidden="false" customHeight="false" outlineLevel="0" collapsed="false">
      <c r="A145" s="29"/>
      <c r="B145" s="28"/>
      <c r="C145" s="32"/>
      <c r="D145" s="32"/>
      <c r="E145" s="39" t="str">
        <f aca="false">IF(OR(C145="",D145=""),"",C145+D145)</f>
        <v/>
      </c>
      <c r="F145" s="40" t="str">
        <f aca="false">IF(E145="","",IF(E145=0,0,C145/E145))</f>
        <v/>
      </c>
      <c r="G145" s="33"/>
      <c r="H145" s="33"/>
      <c r="I145" s="34" t="str">
        <f aca="false">IF(OR(E145="",G145="",H145=""),"",E145*(G145-H145))</f>
        <v/>
      </c>
      <c r="J145" s="36" t="str">
        <f aca="false">IF(F145="","",IF(OR(F145&lt;운용규칙!$B$10,F145&gt;운용규칙!$B$11),"리밸런싱 필요","OK"))</f>
        <v/>
      </c>
    </row>
    <row r="146" customFormat="false" ht="15" hidden="false" customHeight="false" outlineLevel="0" collapsed="false">
      <c r="A146" s="29"/>
      <c r="B146" s="28"/>
      <c r="C146" s="32"/>
      <c r="D146" s="32"/>
      <c r="E146" s="39" t="str">
        <f aca="false">IF(OR(C146="",D146=""),"",C146+D146)</f>
        <v/>
      </c>
      <c r="F146" s="40" t="str">
        <f aca="false">IF(E146="","",IF(E146=0,0,C146/E146))</f>
        <v/>
      </c>
      <c r="G146" s="33"/>
      <c r="H146" s="33"/>
      <c r="I146" s="34" t="str">
        <f aca="false">IF(OR(E146="",G146="",H146=""),"",E146*(G146-H146))</f>
        <v/>
      </c>
      <c r="J146" s="36" t="str">
        <f aca="false">IF(F146="","",IF(OR(F146&lt;운용규칙!$B$10,F146&gt;운용규칙!$B$11),"리밸런싱 필요","OK"))</f>
        <v/>
      </c>
    </row>
    <row r="147" customFormat="false" ht="15" hidden="false" customHeight="false" outlineLevel="0" collapsed="false">
      <c r="A147" s="29"/>
      <c r="B147" s="28"/>
      <c r="C147" s="32"/>
      <c r="D147" s="32"/>
      <c r="E147" s="39" t="str">
        <f aca="false">IF(OR(C147="",D147=""),"",C147+D147)</f>
        <v/>
      </c>
      <c r="F147" s="40" t="str">
        <f aca="false">IF(E147="","",IF(E147=0,0,C147/E147))</f>
        <v/>
      </c>
      <c r="G147" s="33"/>
      <c r="H147" s="33"/>
      <c r="I147" s="34" t="str">
        <f aca="false">IF(OR(E147="",G147="",H147=""),"",E147*(G147-H147))</f>
        <v/>
      </c>
      <c r="J147" s="36" t="str">
        <f aca="false">IF(F147="","",IF(OR(F147&lt;운용규칙!$B$10,F147&gt;운용규칙!$B$11),"리밸런싱 필요","OK"))</f>
        <v/>
      </c>
    </row>
    <row r="148" customFormat="false" ht="15" hidden="false" customHeight="false" outlineLevel="0" collapsed="false">
      <c r="A148" s="29"/>
      <c r="B148" s="28"/>
      <c r="C148" s="32"/>
      <c r="D148" s="32"/>
      <c r="E148" s="39" t="str">
        <f aca="false">IF(OR(C148="",D148=""),"",C148+D148)</f>
        <v/>
      </c>
      <c r="F148" s="40" t="str">
        <f aca="false">IF(E148="","",IF(E148=0,0,C148/E148))</f>
        <v/>
      </c>
      <c r="G148" s="33"/>
      <c r="H148" s="33"/>
      <c r="I148" s="34" t="str">
        <f aca="false">IF(OR(E148="",G148="",H148=""),"",E148*(G148-H148))</f>
        <v/>
      </c>
      <c r="J148" s="36" t="str">
        <f aca="false">IF(F148="","",IF(OR(F148&lt;운용규칙!$B$10,F148&gt;운용규칙!$B$11),"리밸런싱 필요","OK"))</f>
        <v/>
      </c>
    </row>
    <row r="149" customFormat="false" ht="15" hidden="false" customHeight="false" outlineLevel="0" collapsed="false">
      <c r="A149" s="29"/>
      <c r="B149" s="28"/>
      <c r="C149" s="32"/>
      <c r="D149" s="32"/>
      <c r="E149" s="39" t="str">
        <f aca="false">IF(OR(C149="",D149=""),"",C149+D149)</f>
        <v/>
      </c>
      <c r="F149" s="40" t="str">
        <f aca="false">IF(E149="","",IF(E149=0,0,C149/E149))</f>
        <v/>
      </c>
      <c r="G149" s="33"/>
      <c r="H149" s="33"/>
      <c r="I149" s="34" t="str">
        <f aca="false">IF(OR(E149="",G149="",H149=""),"",E149*(G149-H149))</f>
        <v/>
      </c>
      <c r="J149" s="36" t="str">
        <f aca="false">IF(F149="","",IF(OR(F149&lt;운용규칙!$B$10,F149&gt;운용규칙!$B$11),"리밸런싱 필요","OK"))</f>
        <v/>
      </c>
    </row>
    <row r="150" customFormat="false" ht="15" hidden="false" customHeight="false" outlineLevel="0" collapsed="false">
      <c r="A150" s="29"/>
      <c r="B150" s="28"/>
      <c r="C150" s="32"/>
      <c r="D150" s="32"/>
      <c r="E150" s="39" t="str">
        <f aca="false">IF(OR(C150="",D150=""),"",C150+D150)</f>
        <v/>
      </c>
      <c r="F150" s="40" t="str">
        <f aca="false">IF(E150="","",IF(E150=0,0,C150/E150))</f>
        <v/>
      </c>
      <c r="G150" s="33"/>
      <c r="H150" s="33"/>
      <c r="I150" s="34" t="str">
        <f aca="false">IF(OR(E150="",G150="",H150=""),"",E150*(G150-H150))</f>
        <v/>
      </c>
      <c r="J150" s="36" t="str">
        <f aca="false">IF(F150="","",IF(OR(F150&lt;운용규칙!$B$10,F150&gt;운용규칙!$B$11),"리밸런싱 필요","OK"))</f>
        <v/>
      </c>
    </row>
    <row r="151" customFormat="false" ht="15" hidden="false" customHeight="false" outlineLevel="0" collapsed="false">
      <c r="A151" s="29"/>
      <c r="B151" s="28"/>
      <c r="C151" s="32"/>
      <c r="D151" s="32"/>
      <c r="E151" s="39" t="str">
        <f aca="false">IF(OR(C151="",D151=""),"",C151+D151)</f>
        <v/>
      </c>
      <c r="F151" s="40" t="str">
        <f aca="false">IF(E151="","",IF(E151=0,0,C151/E151))</f>
        <v/>
      </c>
      <c r="G151" s="33"/>
      <c r="H151" s="33"/>
      <c r="I151" s="34" t="str">
        <f aca="false">IF(OR(E151="",G151="",H151=""),"",E151*(G151-H151))</f>
        <v/>
      </c>
      <c r="J151" s="36" t="str">
        <f aca="false">IF(F151="","",IF(OR(F151&lt;운용규칙!$B$10,F151&gt;운용규칙!$B$11),"리밸런싱 필요","OK"))</f>
        <v/>
      </c>
    </row>
    <row r="152" customFormat="false" ht="15" hidden="false" customHeight="false" outlineLevel="0" collapsed="false">
      <c r="A152" s="29"/>
      <c r="B152" s="28"/>
      <c r="C152" s="32"/>
      <c r="D152" s="32"/>
      <c r="E152" s="39" t="str">
        <f aca="false">IF(OR(C152="",D152=""),"",C152+D152)</f>
        <v/>
      </c>
      <c r="F152" s="40" t="str">
        <f aca="false">IF(E152="","",IF(E152=0,0,C152/E152))</f>
        <v/>
      </c>
      <c r="G152" s="33"/>
      <c r="H152" s="33"/>
      <c r="I152" s="34" t="str">
        <f aca="false">IF(OR(E152="",G152="",H152=""),"",E152*(G152-H152))</f>
        <v/>
      </c>
      <c r="J152" s="36" t="str">
        <f aca="false">IF(F152="","",IF(OR(F152&lt;운용규칙!$B$10,F152&gt;운용규칙!$B$11),"리밸런싱 필요","OK"))</f>
        <v/>
      </c>
    </row>
    <row r="153" customFormat="false" ht="15" hidden="false" customHeight="false" outlineLevel="0" collapsed="false">
      <c r="A153" s="29"/>
      <c r="B153" s="28"/>
      <c r="C153" s="32"/>
      <c r="D153" s="32"/>
      <c r="E153" s="39" t="str">
        <f aca="false">IF(OR(C153="",D153=""),"",C153+D153)</f>
        <v/>
      </c>
      <c r="F153" s="40" t="str">
        <f aca="false">IF(E153="","",IF(E153=0,0,C153/E153))</f>
        <v/>
      </c>
      <c r="G153" s="33"/>
      <c r="H153" s="33"/>
      <c r="I153" s="34" t="str">
        <f aca="false">IF(OR(E153="",G153="",H153=""),"",E153*(G153-H153))</f>
        <v/>
      </c>
      <c r="J153" s="36" t="str">
        <f aca="false">IF(F153="","",IF(OR(F153&lt;운용규칙!$B$10,F153&gt;운용규칙!$B$11),"리밸런싱 필요","OK"))</f>
        <v/>
      </c>
    </row>
    <row r="154" customFormat="false" ht="15" hidden="false" customHeight="false" outlineLevel="0" collapsed="false">
      <c r="A154" s="29"/>
      <c r="B154" s="28"/>
      <c r="C154" s="32"/>
      <c r="D154" s="32"/>
      <c r="E154" s="39" t="str">
        <f aca="false">IF(OR(C154="",D154=""),"",C154+D154)</f>
        <v/>
      </c>
      <c r="F154" s="40" t="str">
        <f aca="false">IF(E154="","",IF(E154=0,0,C154/E154))</f>
        <v/>
      </c>
      <c r="G154" s="33"/>
      <c r="H154" s="33"/>
      <c r="I154" s="34" t="str">
        <f aca="false">IF(OR(E154="",G154="",H154=""),"",E154*(G154-H154))</f>
        <v/>
      </c>
      <c r="J154" s="36" t="str">
        <f aca="false">IF(F154="","",IF(OR(F154&lt;운용규칙!$B$10,F154&gt;운용규칙!$B$11),"리밸런싱 필요","OK"))</f>
        <v/>
      </c>
    </row>
    <row r="155" customFormat="false" ht="15" hidden="false" customHeight="false" outlineLevel="0" collapsed="false">
      <c r="A155" s="29"/>
      <c r="B155" s="28"/>
      <c r="C155" s="32"/>
      <c r="D155" s="32"/>
      <c r="E155" s="39" t="str">
        <f aca="false">IF(OR(C155="",D155=""),"",C155+D155)</f>
        <v/>
      </c>
      <c r="F155" s="40" t="str">
        <f aca="false">IF(E155="","",IF(E155=0,0,C155/E155))</f>
        <v/>
      </c>
      <c r="G155" s="33"/>
      <c r="H155" s="33"/>
      <c r="I155" s="34" t="str">
        <f aca="false">IF(OR(E155="",G155="",H155=""),"",E155*(G155-H155))</f>
        <v/>
      </c>
      <c r="J155" s="36" t="str">
        <f aca="false">IF(F155="","",IF(OR(F155&lt;운용규칙!$B$10,F155&gt;운용규칙!$B$11),"리밸런싱 필요","OK"))</f>
        <v/>
      </c>
    </row>
    <row r="156" customFormat="false" ht="15" hidden="false" customHeight="false" outlineLevel="0" collapsed="false">
      <c r="A156" s="29"/>
      <c r="B156" s="28"/>
      <c r="C156" s="32"/>
      <c r="D156" s="32"/>
      <c r="E156" s="39" t="str">
        <f aca="false">IF(OR(C156="",D156=""),"",C156+D156)</f>
        <v/>
      </c>
      <c r="F156" s="40" t="str">
        <f aca="false">IF(E156="","",IF(E156=0,0,C156/E156))</f>
        <v/>
      </c>
      <c r="G156" s="33"/>
      <c r="H156" s="33"/>
      <c r="I156" s="34" t="str">
        <f aca="false">IF(OR(E156="",G156="",H156=""),"",E156*(G156-H156))</f>
        <v/>
      </c>
      <c r="J156" s="36" t="str">
        <f aca="false">IF(F156="","",IF(OR(F156&lt;운용규칙!$B$10,F156&gt;운용규칙!$B$11),"리밸런싱 필요","OK"))</f>
        <v/>
      </c>
    </row>
    <row r="157" customFormat="false" ht="15" hidden="false" customHeight="false" outlineLevel="0" collapsed="false">
      <c r="A157" s="29"/>
      <c r="B157" s="28"/>
      <c r="C157" s="32"/>
      <c r="D157" s="32"/>
      <c r="E157" s="39" t="str">
        <f aca="false">IF(OR(C157="",D157=""),"",C157+D157)</f>
        <v/>
      </c>
      <c r="F157" s="40" t="str">
        <f aca="false">IF(E157="","",IF(E157=0,0,C157/E157))</f>
        <v/>
      </c>
      <c r="G157" s="33"/>
      <c r="H157" s="33"/>
      <c r="I157" s="34" t="str">
        <f aca="false">IF(OR(E157="",G157="",H157=""),"",E157*(G157-H157))</f>
        <v/>
      </c>
      <c r="J157" s="36" t="str">
        <f aca="false">IF(F157="","",IF(OR(F157&lt;운용규칙!$B$10,F157&gt;운용규칙!$B$11),"리밸런싱 필요","OK"))</f>
        <v/>
      </c>
    </row>
    <row r="158" customFormat="false" ht="15" hidden="false" customHeight="false" outlineLevel="0" collapsed="false">
      <c r="A158" s="29"/>
      <c r="B158" s="28"/>
      <c r="C158" s="32"/>
      <c r="D158" s="32"/>
      <c r="E158" s="39" t="str">
        <f aca="false">IF(OR(C158="",D158=""),"",C158+D158)</f>
        <v/>
      </c>
      <c r="F158" s="40" t="str">
        <f aca="false">IF(E158="","",IF(E158=0,0,C158/E158))</f>
        <v/>
      </c>
      <c r="G158" s="33"/>
      <c r="H158" s="33"/>
      <c r="I158" s="34" t="str">
        <f aca="false">IF(OR(E158="",G158="",H158=""),"",E158*(G158-H158))</f>
        <v/>
      </c>
      <c r="J158" s="36" t="str">
        <f aca="false">IF(F158="","",IF(OR(F158&lt;운용규칙!$B$10,F158&gt;운용규칙!$B$11),"리밸런싱 필요","OK"))</f>
        <v/>
      </c>
    </row>
    <row r="159" customFormat="false" ht="15" hidden="false" customHeight="false" outlineLevel="0" collapsed="false">
      <c r="A159" s="29"/>
      <c r="B159" s="28"/>
      <c r="C159" s="32"/>
      <c r="D159" s="32"/>
      <c r="E159" s="39" t="str">
        <f aca="false">IF(OR(C159="",D159=""),"",C159+D159)</f>
        <v/>
      </c>
      <c r="F159" s="40" t="str">
        <f aca="false">IF(E159="","",IF(E159=0,0,C159/E159))</f>
        <v/>
      </c>
      <c r="G159" s="33"/>
      <c r="H159" s="33"/>
      <c r="I159" s="34" t="str">
        <f aca="false">IF(OR(E159="",G159="",H159=""),"",E159*(G159-H159))</f>
        <v/>
      </c>
      <c r="J159" s="36" t="str">
        <f aca="false">IF(F159="","",IF(OR(F159&lt;운용규칙!$B$10,F159&gt;운용규칙!$B$11),"리밸런싱 필요","OK"))</f>
        <v/>
      </c>
    </row>
    <row r="160" customFormat="false" ht="15" hidden="false" customHeight="false" outlineLevel="0" collapsed="false">
      <c r="A160" s="29"/>
      <c r="B160" s="28"/>
      <c r="C160" s="32"/>
      <c r="D160" s="32"/>
      <c r="E160" s="39" t="str">
        <f aca="false">IF(OR(C160="",D160=""),"",C160+D160)</f>
        <v/>
      </c>
      <c r="F160" s="40" t="str">
        <f aca="false">IF(E160="","",IF(E160=0,0,C160/E160))</f>
        <v/>
      </c>
      <c r="G160" s="33"/>
      <c r="H160" s="33"/>
      <c r="I160" s="34" t="str">
        <f aca="false">IF(OR(E160="",G160="",H160=""),"",E160*(G160-H160))</f>
        <v/>
      </c>
      <c r="J160" s="36" t="str">
        <f aca="false">IF(F160="","",IF(OR(F160&lt;운용규칙!$B$10,F160&gt;운용규칙!$B$11),"리밸런싱 필요","OK"))</f>
        <v/>
      </c>
    </row>
    <row r="161" customFormat="false" ht="15" hidden="false" customHeight="false" outlineLevel="0" collapsed="false">
      <c r="A161" s="29"/>
      <c r="B161" s="28"/>
      <c r="C161" s="32"/>
      <c r="D161" s="32"/>
      <c r="E161" s="39" t="str">
        <f aca="false">IF(OR(C161="",D161=""),"",C161+D161)</f>
        <v/>
      </c>
      <c r="F161" s="40" t="str">
        <f aca="false">IF(E161="","",IF(E161=0,0,C161/E161))</f>
        <v/>
      </c>
      <c r="G161" s="33"/>
      <c r="H161" s="33"/>
      <c r="I161" s="34" t="str">
        <f aca="false">IF(OR(E161="",G161="",H161=""),"",E161*(G161-H161))</f>
        <v/>
      </c>
      <c r="J161" s="36" t="str">
        <f aca="false">IF(F161="","",IF(OR(F161&lt;운용규칙!$B$10,F161&gt;운용규칙!$B$11),"리밸런싱 필요","OK"))</f>
        <v/>
      </c>
    </row>
    <row r="162" customFormat="false" ht="15" hidden="false" customHeight="false" outlineLevel="0" collapsed="false">
      <c r="A162" s="29"/>
      <c r="B162" s="28"/>
      <c r="C162" s="32"/>
      <c r="D162" s="32"/>
      <c r="E162" s="39" t="str">
        <f aca="false">IF(OR(C162="",D162=""),"",C162+D162)</f>
        <v/>
      </c>
      <c r="F162" s="40" t="str">
        <f aca="false">IF(E162="","",IF(E162=0,0,C162/E162))</f>
        <v/>
      </c>
      <c r="G162" s="33"/>
      <c r="H162" s="33"/>
      <c r="I162" s="34" t="str">
        <f aca="false">IF(OR(E162="",G162="",H162=""),"",E162*(G162-H162))</f>
        <v/>
      </c>
      <c r="J162" s="36" t="str">
        <f aca="false">IF(F162="","",IF(OR(F162&lt;운용규칙!$B$10,F162&gt;운용규칙!$B$11),"리밸런싱 필요","OK"))</f>
        <v/>
      </c>
    </row>
    <row r="163" customFormat="false" ht="15" hidden="false" customHeight="false" outlineLevel="0" collapsed="false">
      <c r="A163" s="29"/>
      <c r="B163" s="28"/>
      <c r="C163" s="32"/>
      <c r="D163" s="32"/>
      <c r="E163" s="39" t="str">
        <f aca="false">IF(OR(C163="",D163=""),"",C163+D163)</f>
        <v/>
      </c>
      <c r="F163" s="40" t="str">
        <f aca="false">IF(E163="","",IF(E163=0,0,C163/E163))</f>
        <v/>
      </c>
      <c r="G163" s="33"/>
      <c r="H163" s="33"/>
      <c r="I163" s="34" t="str">
        <f aca="false">IF(OR(E163="",G163="",H163=""),"",E163*(G163-H163))</f>
        <v/>
      </c>
      <c r="J163" s="36" t="str">
        <f aca="false">IF(F163="","",IF(OR(F163&lt;운용규칙!$B$10,F163&gt;운용규칙!$B$11),"리밸런싱 필요","OK"))</f>
        <v/>
      </c>
    </row>
    <row r="164" customFormat="false" ht="15" hidden="false" customHeight="false" outlineLevel="0" collapsed="false">
      <c r="A164" s="29"/>
      <c r="B164" s="28"/>
      <c r="C164" s="32"/>
      <c r="D164" s="32"/>
      <c r="E164" s="39" t="str">
        <f aca="false">IF(OR(C164="",D164=""),"",C164+D164)</f>
        <v/>
      </c>
      <c r="F164" s="40" t="str">
        <f aca="false">IF(E164="","",IF(E164=0,0,C164/E164))</f>
        <v/>
      </c>
      <c r="G164" s="33"/>
      <c r="H164" s="33"/>
      <c r="I164" s="34" t="str">
        <f aca="false">IF(OR(E164="",G164="",H164=""),"",E164*(G164-H164))</f>
        <v/>
      </c>
      <c r="J164" s="36" t="str">
        <f aca="false">IF(F164="","",IF(OR(F164&lt;운용규칙!$B$10,F164&gt;운용규칙!$B$11),"리밸런싱 필요","OK"))</f>
        <v/>
      </c>
    </row>
    <row r="165" customFormat="false" ht="15" hidden="false" customHeight="false" outlineLevel="0" collapsed="false">
      <c r="A165" s="29"/>
      <c r="B165" s="28"/>
      <c r="C165" s="32"/>
      <c r="D165" s="32"/>
      <c r="E165" s="39" t="str">
        <f aca="false">IF(OR(C165="",D165=""),"",C165+D165)</f>
        <v/>
      </c>
      <c r="F165" s="40" t="str">
        <f aca="false">IF(E165="","",IF(E165=0,0,C165/E165))</f>
        <v/>
      </c>
      <c r="G165" s="33"/>
      <c r="H165" s="33"/>
      <c r="I165" s="34" t="str">
        <f aca="false">IF(OR(E165="",G165="",H165=""),"",E165*(G165-H165))</f>
        <v/>
      </c>
      <c r="J165" s="36" t="str">
        <f aca="false">IF(F165="","",IF(OR(F165&lt;운용규칙!$B$10,F165&gt;운용규칙!$B$11),"리밸런싱 필요","OK"))</f>
        <v/>
      </c>
    </row>
    <row r="166" customFormat="false" ht="15" hidden="false" customHeight="false" outlineLevel="0" collapsed="false">
      <c r="A166" s="29"/>
      <c r="B166" s="28"/>
      <c r="C166" s="32"/>
      <c r="D166" s="32"/>
      <c r="E166" s="39" t="str">
        <f aca="false">IF(OR(C166="",D166=""),"",C166+D166)</f>
        <v/>
      </c>
      <c r="F166" s="40" t="str">
        <f aca="false">IF(E166="","",IF(E166=0,0,C166/E166))</f>
        <v/>
      </c>
      <c r="G166" s="33"/>
      <c r="H166" s="33"/>
      <c r="I166" s="34" t="str">
        <f aca="false">IF(OR(E166="",G166="",H166=""),"",E166*(G166-H166))</f>
        <v/>
      </c>
      <c r="J166" s="36" t="str">
        <f aca="false">IF(F166="","",IF(OR(F166&lt;운용규칙!$B$10,F166&gt;운용규칙!$B$11),"리밸런싱 필요","OK"))</f>
        <v/>
      </c>
    </row>
    <row r="167" customFormat="false" ht="15" hidden="false" customHeight="false" outlineLevel="0" collapsed="false">
      <c r="A167" s="29"/>
      <c r="B167" s="28"/>
      <c r="C167" s="32"/>
      <c r="D167" s="32"/>
      <c r="E167" s="39" t="str">
        <f aca="false">IF(OR(C167="",D167=""),"",C167+D167)</f>
        <v/>
      </c>
      <c r="F167" s="40" t="str">
        <f aca="false">IF(E167="","",IF(E167=0,0,C167/E167))</f>
        <v/>
      </c>
      <c r="G167" s="33"/>
      <c r="H167" s="33"/>
      <c r="I167" s="34" t="str">
        <f aca="false">IF(OR(E167="",G167="",H167=""),"",E167*(G167-H167))</f>
        <v/>
      </c>
      <c r="J167" s="36" t="str">
        <f aca="false">IF(F167="","",IF(OR(F167&lt;운용규칙!$B$10,F167&gt;운용규칙!$B$11),"리밸런싱 필요","OK"))</f>
        <v/>
      </c>
    </row>
    <row r="168" customFormat="false" ht="15" hidden="false" customHeight="false" outlineLevel="0" collapsed="false">
      <c r="A168" s="29"/>
      <c r="B168" s="28"/>
      <c r="C168" s="32"/>
      <c r="D168" s="32"/>
      <c r="E168" s="39" t="str">
        <f aca="false">IF(OR(C168="",D168=""),"",C168+D168)</f>
        <v/>
      </c>
      <c r="F168" s="40" t="str">
        <f aca="false">IF(E168="","",IF(E168=0,0,C168/E168))</f>
        <v/>
      </c>
      <c r="G168" s="33"/>
      <c r="H168" s="33"/>
      <c r="I168" s="34" t="str">
        <f aca="false">IF(OR(E168="",G168="",H168=""),"",E168*(G168-H168))</f>
        <v/>
      </c>
      <c r="J168" s="36" t="str">
        <f aca="false">IF(F168="","",IF(OR(F168&lt;운용규칙!$B$10,F168&gt;운용규칙!$B$11),"리밸런싱 필요","OK"))</f>
        <v/>
      </c>
    </row>
    <row r="169" customFormat="false" ht="15" hidden="false" customHeight="false" outlineLevel="0" collapsed="false">
      <c r="A169" s="29"/>
      <c r="B169" s="28"/>
      <c r="C169" s="32"/>
      <c r="D169" s="32"/>
      <c r="E169" s="39" t="str">
        <f aca="false">IF(OR(C169="",D169=""),"",C169+D169)</f>
        <v/>
      </c>
      <c r="F169" s="40" t="str">
        <f aca="false">IF(E169="","",IF(E169=0,0,C169/E169))</f>
        <v/>
      </c>
      <c r="G169" s="33"/>
      <c r="H169" s="33"/>
      <c r="I169" s="34" t="str">
        <f aca="false">IF(OR(E169="",G169="",H169=""),"",E169*(G169-H169))</f>
        <v/>
      </c>
      <c r="J169" s="36" t="str">
        <f aca="false">IF(F169="","",IF(OR(F169&lt;운용규칙!$B$10,F169&gt;운용규칙!$B$11),"리밸런싱 필요","OK"))</f>
        <v/>
      </c>
    </row>
    <row r="170" customFormat="false" ht="15" hidden="false" customHeight="false" outlineLevel="0" collapsed="false">
      <c r="A170" s="29"/>
      <c r="B170" s="28"/>
      <c r="C170" s="32"/>
      <c r="D170" s="32"/>
      <c r="E170" s="39" t="str">
        <f aca="false">IF(OR(C170="",D170=""),"",C170+D170)</f>
        <v/>
      </c>
      <c r="F170" s="40" t="str">
        <f aca="false">IF(E170="","",IF(E170=0,0,C170/E170))</f>
        <v/>
      </c>
      <c r="G170" s="33"/>
      <c r="H170" s="33"/>
      <c r="I170" s="34" t="str">
        <f aca="false">IF(OR(E170="",G170="",H170=""),"",E170*(G170-H170))</f>
        <v/>
      </c>
      <c r="J170" s="36" t="str">
        <f aca="false">IF(F170="","",IF(OR(F170&lt;운용규칙!$B$10,F170&gt;운용규칙!$B$11),"리밸런싱 필요","OK"))</f>
        <v/>
      </c>
    </row>
    <row r="171" customFormat="false" ht="15" hidden="false" customHeight="false" outlineLevel="0" collapsed="false">
      <c r="A171" s="29"/>
      <c r="B171" s="28"/>
      <c r="C171" s="32"/>
      <c r="D171" s="32"/>
      <c r="E171" s="39" t="str">
        <f aca="false">IF(OR(C171="",D171=""),"",C171+D171)</f>
        <v/>
      </c>
      <c r="F171" s="40" t="str">
        <f aca="false">IF(E171="","",IF(E171=0,0,C171/E171))</f>
        <v/>
      </c>
      <c r="G171" s="33"/>
      <c r="H171" s="33"/>
      <c r="I171" s="34" t="str">
        <f aca="false">IF(OR(E171="",G171="",H171=""),"",E171*(G171-H171))</f>
        <v/>
      </c>
      <c r="J171" s="36" t="str">
        <f aca="false">IF(F171="","",IF(OR(F171&lt;운용규칙!$B$10,F171&gt;운용규칙!$B$11),"리밸런싱 필요","OK"))</f>
        <v/>
      </c>
    </row>
    <row r="172" customFormat="false" ht="15" hidden="false" customHeight="false" outlineLevel="0" collapsed="false">
      <c r="A172" s="29"/>
      <c r="B172" s="28"/>
      <c r="C172" s="32"/>
      <c r="D172" s="32"/>
      <c r="E172" s="39" t="str">
        <f aca="false">IF(OR(C172="",D172=""),"",C172+D172)</f>
        <v/>
      </c>
      <c r="F172" s="40" t="str">
        <f aca="false">IF(E172="","",IF(E172=0,0,C172/E172))</f>
        <v/>
      </c>
      <c r="G172" s="33"/>
      <c r="H172" s="33"/>
      <c r="I172" s="34" t="str">
        <f aca="false">IF(OR(E172="",G172="",H172=""),"",E172*(G172-H172))</f>
        <v/>
      </c>
      <c r="J172" s="36" t="str">
        <f aca="false">IF(F172="","",IF(OR(F172&lt;운용규칙!$B$10,F172&gt;운용규칙!$B$11),"리밸런싱 필요","OK"))</f>
        <v/>
      </c>
    </row>
    <row r="173" customFormat="false" ht="15" hidden="false" customHeight="false" outlineLevel="0" collapsed="false">
      <c r="A173" s="29"/>
      <c r="B173" s="28"/>
      <c r="C173" s="32"/>
      <c r="D173" s="32"/>
      <c r="E173" s="39" t="str">
        <f aca="false">IF(OR(C173="",D173=""),"",C173+D173)</f>
        <v/>
      </c>
      <c r="F173" s="40" t="str">
        <f aca="false">IF(E173="","",IF(E173=0,0,C173/E173))</f>
        <v/>
      </c>
      <c r="G173" s="33"/>
      <c r="H173" s="33"/>
      <c r="I173" s="34" t="str">
        <f aca="false">IF(OR(E173="",G173="",H173=""),"",E173*(G173-H173))</f>
        <v/>
      </c>
      <c r="J173" s="36" t="str">
        <f aca="false">IF(F173="","",IF(OR(F173&lt;운용규칙!$B$10,F173&gt;운용규칙!$B$11),"리밸런싱 필요","OK"))</f>
        <v/>
      </c>
    </row>
    <row r="174" customFormat="false" ht="15" hidden="false" customHeight="false" outlineLevel="0" collapsed="false">
      <c r="A174" s="29"/>
      <c r="B174" s="28"/>
      <c r="C174" s="32"/>
      <c r="D174" s="32"/>
      <c r="E174" s="39" t="str">
        <f aca="false">IF(OR(C174="",D174=""),"",C174+D174)</f>
        <v/>
      </c>
      <c r="F174" s="40" t="str">
        <f aca="false">IF(E174="","",IF(E174=0,0,C174/E174))</f>
        <v/>
      </c>
      <c r="G174" s="33"/>
      <c r="H174" s="33"/>
      <c r="I174" s="34" t="str">
        <f aca="false">IF(OR(E174="",G174="",H174=""),"",E174*(G174-H174))</f>
        <v/>
      </c>
      <c r="J174" s="36" t="str">
        <f aca="false">IF(F174="","",IF(OR(F174&lt;운용규칙!$B$10,F174&gt;운용규칙!$B$11),"리밸런싱 필요","OK"))</f>
        <v/>
      </c>
    </row>
    <row r="175" customFormat="false" ht="15" hidden="false" customHeight="false" outlineLevel="0" collapsed="false">
      <c r="A175" s="29"/>
      <c r="B175" s="28"/>
      <c r="C175" s="32"/>
      <c r="D175" s="32"/>
      <c r="E175" s="39" t="str">
        <f aca="false">IF(OR(C175="",D175=""),"",C175+D175)</f>
        <v/>
      </c>
      <c r="F175" s="40" t="str">
        <f aca="false">IF(E175="","",IF(E175=0,0,C175/E175))</f>
        <v/>
      </c>
      <c r="G175" s="33"/>
      <c r="H175" s="33"/>
      <c r="I175" s="34" t="str">
        <f aca="false">IF(OR(E175="",G175="",H175=""),"",E175*(G175-H175))</f>
        <v/>
      </c>
      <c r="J175" s="36" t="str">
        <f aca="false">IF(F175="","",IF(OR(F175&lt;운용규칙!$B$10,F175&gt;운용규칙!$B$11),"리밸런싱 필요","OK"))</f>
        <v/>
      </c>
    </row>
    <row r="176" customFormat="false" ht="15" hidden="false" customHeight="false" outlineLevel="0" collapsed="false">
      <c r="A176" s="29"/>
      <c r="B176" s="28"/>
      <c r="C176" s="32"/>
      <c r="D176" s="32"/>
      <c r="E176" s="39" t="str">
        <f aca="false">IF(OR(C176="",D176=""),"",C176+D176)</f>
        <v/>
      </c>
      <c r="F176" s="40" t="str">
        <f aca="false">IF(E176="","",IF(E176=0,0,C176/E176))</f>
        <v/>
      </c>
      <c r="G176" s="33"/>
      <c r="H176" s="33"/>
      <c r="I176" s="34" t="str">
        <f aca="false">IF(OR(E176="",G176="",H176=""),"",E176*(G176-H176))</f>
        <v/>
      </c>
      <c r="J176" s="36" t="str">
        <f aca="false">IF(F176="","",IF(OR(F176&lt;운용규칙!$B$10,F176&gt;운용규칙!$B$11),"리밸런싱 필요","OK"))</f>
        <v/>
      </c>
    </row>
    <row r="177" customFormat="false" ht="15" hidden="false" customHeight="false" outlineLevel="0" collapsed="false">
      <c r="A177" s="29"/>
      <c r="B177" s="28"/>
      <c r="C177" s="32"/>
      <c r="D177" s="32"/>
      <c r="E177" s="39" t="str">
        <f aca="false">IF(OR(C177="",D177=""),"",C177+D177)</f>
        <v/>
      </c>
      <c r="F177" s="40" t="str">
        <f aca="false">IF(E177="","",IF(E177=0,0,C177/E177))</f>
        <v/>
      </c>
      <c r="G177" s="33"/>
      <c r="H177" s="33"/>
      <c r="I177" s="34" t="str">
        <f aca="false">IF(OR(E177="",G177="",H177=""),"",E177*(G177-H177))</f>
        <v/>
      </c>
      <c r="J177" s="36" t="str">
        <f aca="false">IF(F177="","",IF(OR(F177&lt;운용규칙!$B$10,F177&gt;운용규칙!$B$11),"리밸런싱 필요","OK"))</f>
        <v/>
      </c>
    </row>
    <row r="178" customFormat="false" ht="15" hidden="false" customHeight="false" outlineLevel="0" collapsed="false">
      <c r="A178" s="29"/>
      <c r="B178" s="28"/>
      <c r="C178" s="32"/>
      <c r="D178" s="32"/>
      <c r="E178" s="39" t="str">
        <f aca="false">IF(OR(C178="",D178=""),"",C178+D178)</f>
        <v/>
      </c>
      <c r="F178" s="40" t="str">
        <f aca="false">IF(E178="","",IF(E178=0,0,C178/E178))</f>
        <v/>
      </c>
      <c r="G178" s="33"/>
      <c r="H178" s="33"/>
      <c r="I178" s="34" t="str">
        <f aca="false">IF(OR(E178="",G178="",H178=""),"",E178*(G178-H178))</f>
        <v/>
      </c>
      <c r="J178" s="36" t="str">
        <f aca="false">IF(F178="","",IF(OR(F178&lt;운용규칙!$B$10,F178&gt;운용규칙!$B$11),"리밸런싱 필요","OK"))</f>
        <v/>
      </c>
    </row>
    <row r="179" customFormat="false" ht="15" hidden="false" customHeight="false" outlineLevel="0" collapsed="false">
      <c r="A179" s="29"/>
      <c r="B179" s="28"/>
      <c r="C179" s="32"/>
      <c r="D179" s="32"/>
      <c r="E179" s="39" t="str">
        <f aca="false">IF(OR(C179="",D179=""),"",C179+D179)</f>
        <v/>
      </c>
      <c r="F179" s="40" t="str">
        <f aca="false">IF(E179="","",IF(E179=0,0,C179/E179))</f>
        <v/>
      </c>
      <c r="G179" s="33"/>
      <c r="H179" s="33"/>
      <c r="I179" s="34" t="str">
        <f aca="false">IF(OR(E179="",G179="",H179=""),"",E179*(G179-H179))</f>
        <v/>
      </c>
      <c r="J179" s="36" t="str">
        <f aca="false">IF(F179="","",IF(OR(F179&lt;운용규칙!$B$10,F179&gt;운용규칙!$B$11),"리밸런싱 필요","OK"))</f>
        <v/>
      </c>
    </row>
    <row r="180" customFormat="false" ht="15" hidden="false" customHeight="false" outlineLevel="0" collapsed="false">
      <c r="A180" s="29"/>
      <c r="B180" s="28"/>
      <c r="C180" s="32"/>
      <c r="D180" s="32"/>
      <c r="E180" s="39" t="str">
        <f aca="false">IF(OR(C180="",D180=""),"",C180+D180)</f>
        <v/>
      </c>
      <c r="F180" s="40" t="str">
        <f aca="false">IF(E180="","",IF(E180=0,0,C180/E180))</f>
        <v/>
      </c>
      <c r="G180" s="33"/>
      <c r="H180" s="33"/>
      <c r="I180" s="34" t="str">
        <f aca="false">IF(OR(E180="",G180="",H180=""),"",E180*(G180-H180))</f>
        <v/>
      </c>
      <c r="J180" s="36" t="str">
        <f aca="false">IF(F180="","",IF(OR(F180&lt;운용규칙!$B$10,F180&gt;운용규칙!$B$11),"리밸런싱 필요","OK"))</f>
        <v/>
      </c>
    </row>
    <row r="181" customFormat="false" ht="15" hidden="false" customHeight="false" outlineLevel="0" collapsed="false">
      <c r="A181" s="29"/>
      <c r="B181" s="28"/>
      <c r="C181" s="32"/>
      <c r="D181" s="32"/>
      <c r="E181" s="39" t="str">
        <f aca="false">IF(OR(C181="",D181=""),"",C181+D181)</f>
        <v/>
      </c>
      <c r="F181" s="40" t="str">
        <f aca="false">IF(E181="","",IF(E181=0,0,C181/E181))</f>
        <v/>
      </c>
      <c r="G181" s="33"/>
      <c r="H181" s="33"/>
      <c r="I181" s="34" t="str">
        <f aca="false">IF(OR(E181="",G181="",H181=""),"",E181*(G181-H181))</f>
        <v/>
      </c>
      <c r="J181" s="36" t="str">
        <f aca="false">IF(F181="","",IF(OR(F181&lt;운용규칙!$B$10,F181&gt;운용규칙!$B$11),"리밸런싱 필요","OK"))</f>
        <v/>
      </c>
    </row>
    <row r="182" customFormat="false" ht="15" hidden="false" customHeight="false" outlineLevel="0" collapsed="false">
      <c r="A182" s="29"/>
      <c r="B182" s="28"/>
      <c r="C182" s="32"/>
      <c r="D182" s="32"/>
      <c r="E182" s="39" t="str">
        <f aca="false">IF(OR(C182="",D182=""),"",C182+D182)</f>
        <v/>
      </c>
      <c r="F182" s="40" t="str">
        <f aca="false">IF(E182="","",IF(E182=0,0,C182/E182))</f>
        <v/>
      </c>
      <c r="G182" s="33"/>
      <c r="H182" s="33"/>
      <c r="I182" s="34" t="str">
        <f aca="false">IF(OR(E182="",G182="",H182=""),"",E182*(G182-H182))</f>
        <v/>
      </c>
      <c r="J182" s="36" t="str">
        <f aca="false">IF(F182="","",IF(OR(F182&lt;운용규칙!$B$10,F182&gt;운용규칙!$B$11),"리밸런싱 필요","OK"))</f>
        <v/>
      </c>
    </row>
    <row r="183" customFormat="false" ht="15" hidden="false" customHeight="false" outlineLevel="0" collapsed="false">
      <c r="A183" s="29"/>
      <c r="B183" s="28"/>
      <c r="C183" s="32"/>
      <c r="D183" s="32"/>
      <c r="E183" s="39" t="str">
        <f aca="false">IF(OR(C183="",D183=""),"",C183+D183)</f>
        <v/>
      </c>
      <c r="F183" s="40" t="str">
        <f aca="false">IF(E183="","",IF(E183=0,0,C183/E183))</f>
        <v/>
      </c>
      <c r="G183" s="33"/>
      <c r="H183" s="33"/>
      <c r="I183" s="34" t="str">
        <f aca="false">IF(OR(E183="",G183="",H183=""),"",E183*(G183-H183))</f>
        <v/>
      </c>
      <c r="J183" s="36" t="str">
        <f aca="false">IF(F183="","",IF(OR(F183&lt;운용규칙!$B$10,F183&gt;운용규칙!$B$11),"리밸런싱 필요","OK"))</f>
        <v/>
      </c>
    </row>
    <row r="184" customFormat="false" ht="15" hidden="false" customHeight="false" outlineLevel="0" collapsed="false">
      <c r="A184" s="29"/>
      <c r="B184" s="28"/>
      <c r="C184" s="32"/>
      <c r="D184" s="32"/>
      <c r="E184" s="39" t="str">
        <f aca="false">IF(OR(C184="",D184=""),"",C184+D184)</f>
        <v/>
      </c>
      <c r="F184" s="40" t="str">
        <f aca="false">IF(E184="","",IF(E184=0,0,C184/E184))</f>
        <v/>
      </c>
      <c r="G184" s="33"/>
      <c r="H184" s="33"/>
      <c r="I184" s="34" t="str">
        <f aca="false">IF(OR(E184="",G184="",H184=""),"",E184*(G184-H184))</f>
        <v/>
      </c>
      <c r="J184" s="36" t="str">
        <f aca="false">IF(F184="","",IF(OR(F184&lt;운용규칙!$B$10,F184&gt;운용규칙!$B$11),"리밸런싱 필요","OK"))</f>
        <v/>
      </c>
    </row>
    <row r="185" customFormat="false" ht="15" hidden="false" customHeight="false" outlineLevel="0" collapsed="false">
      <c r="A185" s="29"/>
      <c r="B185" s="28"/>
      <c r="C185" s="32"/>
      <c r="D185" s="32"/>
      <c r="E185" s="39" t="str">
        <f aca="false">IF(OR(C185="",D185=""),"",C185+D185)</f>
        <v/>
      </c>
      <c r="F185" s="40" t="str">
        <f aca="false">IF(E185="","",IF(E185=0,0,C185/E185))</f>
        <v/>
      </c>
      <c r="G185" s="33"/>
      <c r="H185" s="33"/>
      <c r="I185" s="34" t="str">
        <f aca="false">IF(OR(E185="",G185="",H185=""),"",E185*(G185-H185))</f>
        <v/>
      </c>
      <c r="J185" s="36" t="str">
        <f aca="false">IF(F185="","",IF(OR(F185&lt;운용규칙!$B$10,F185&gt;운용규칙!$B$11),"리밸런싱 필요","OK"))</f>
        <v/>
      </c>
    </row>
    <row r="186" customFormat="false" ht="15" hidden="false" customHeight="false" outlineLevel="0" collapsed="false">
      <c r="A186" s="29"/>
      <c r="B186" s="28"/>
      <c r="C186" s="32"/>
      <c r="D186" s="32"/>
      <c r="E186" s="39" t="str">
        <f aca="false">IF(OR(C186="",D186=""),"",C186+D186)</f>
        <v/>
      </c>
      <c r="F186" s="40" t="str">
        <f aca="false">IF(E186="","",IF(E186=0,0,C186/E186))</f>
        <v/>
      </c>
      <c r="G186" s="33"/>
      <c r="H186" s="33"/>
      <c r="I186" s="34" t="str">
        <f aca="false">IF(OR(E186="",G186="",H186=""),"",E186*(G186-H186))</f>
        <v/>
      </c>
      <c r="J186" s="36" t="str">
        <f aca="false">IF(F186="","",IF(OR(F186&lt;운용규칙!$B$10,F186&gt;운용규칙!$B$11),"리밸런싱 필요","OK"))</f>
        <v/>
      </c>
    </row>
    <row r="187" customFormat="false" ht="15" hidden="false" customHeight="false" outlineLevel="0" collapsed="false">
      <c r="A187" s="29"/>
      <c r="B187" s="28"/>
      <c r="C187" s="32"/>
      <c r="D187" s="32"/>
      <c r="E187" s="39" t="str">
        <f aca="false">IF(OR(C187="",D187=""),"",C187+D187)</f>
        <v/>
      </c>
      <c r="F187" s="40" t="str">
        <f aca="false">IF(E187="","",IF(E187=0,0,C187/E187))</f>
        <v/>
      </c>
      <c r="G187" s="33"/>
      <c r="H187" s="33"/>
      <c r="I187" s="34" t="str">
        <f aca="false">IF(OR(E187="",G187="",H187=""),"",E187*(G187-H187))</f>
        <v/>
      </c>
      <c r="J187" s="36" t="str">
        <f aca="false">IF(F187="","",IF(OR(F187&lt;운용규칙!$B$10,F187&gt;운용규칙!$B$11),"리밸런싱 필요","OK"))</f>
        <v/>
      </c>
    </row>
    <row r="188" customFormat="false" ht="15" hidden="false" customHeight="false" outlineLevel="0" collapsed="false">
      <c r="A188" s="29"/>
      <c r="B188" s="28"/>
      <c r="C188" s="32"/>
      <c r="D188" s="32"/>
      <c r="E188" s="39" t="str">
        <f aca="false">IF(OR(C188="",D188=""),"",C188+D188)</f>
        <v/>
      </c>
      <c r="F188" s="40" t="str">
        <f aca="false">IF(E188="","",IF(E188=0,0,C188/E188))</f>
        <v/>
      </c>
      <c r="G188" s="33"/>
      <c r="H188" s="33"/>
      <c r="I188" s="34" t="str">
        <f aca="false">IF(OR(E188="",G188="",H188=""),"",E188*(G188-H188))</f>
        <v/>
      </c>
      <c r="J188" s="36" t="str">
        <f aca="false">IF(F188="","",IF(OR(F188&lt;운용규칙!$B$10,F188&gt;운용규칙!$B$11),"리밸런싱 필요","OK"))</f>
        <v/>
      </c>
    </row>
    <row r="189" customFormat="false" ht="15" hidden="false" customHeight="false" outlineLevel="0" collapsed="false">
      <c r="A189" s="29"/>
      <c r="B189" s="28"/>
      <c r="C189" s="32"/>
      <c r="D189" s="32"/>
      <c r="E189" s="39" t="str">
        <f aca="false">IF(OR(C189="",D189=""),"",C189+D189)</f>
        <v/>
      </c>
      <c r="F189" s="40" t="str">
        <f aca="false">IF(E189="","",IF(E189=0,0,C189/E189))</f>
        <v/>
      </c>
      <c r="G189" s="33"/>
      <c r="H189" s="33"/>
      <c r="I189" s="34" t="str">
        <f aca="false">IF(OR(E189="",G189="",H189=""),"",E189*(G189-H189))</f>
        <v/>
      </c>
      <c r="J189" s="36" t="str">
        <f aca="false">IF(F189="","",IF(OR(F189&lt;운용규칙!$B$10,F189&gt;운용규칙!$B$11),"리밸런싱 필요","OK"))</f>
        <v/>
      </c>
    </row>
    <row r="190" customFormat="false" ht="15" hidden="false" customHeight="false" outlineLevel="0" collapsed="false">
      <c r="A190" s="29"/>
      <c r="B190" s="28"/>
      <c r="C190" s="32"/>
      <c r="D190" s="32"/>
      <c r="E190" s="39" t="str">
        <f aca="false">IF(OR(C190="",D190=""),"",C190+D190)</f>
        <v/>
      </c>
      <c r="F190" s="40" t="str">
        <f aca="false">IF(E190="","",IF(E190=0,0,C190/E190))</f>
        <v/>
      </c>
      <c r="G190" s="33"/>
      <c r="H190" s="33"/>
      <c r="I190" s="34" t="str">
        <f aca="false">IF(OR(E190="",G190="",H190=""),"",E190*(G190-H190))</f>
        <v/>
      </c>
      <c r="J190" s="36" t="str">
        <f aca="false">IF(F190="","",IF(OR(F190&lt;운용규칙!$B$10,F190&gt;운용규칙!$B$11),"리밸런싱 필요","OK"))</f>
        <v/>
      </c>
    </row>
    <row r="191" customFormat="false" ht="15" hidden="false" customHeight="false" outlineLevel="0" collapsed="false">
      <c r="A191" s="29"/>
      <c r="B191" s="28"/>
      <c r="C191" s="32"/>
      <c r="D191" s="32"/>
      <c r="E191" s="39" t="str">
        <f aca="false">IF(OR(C191="",D191=""),"",C191+D191)</f>
        <v/>
      </c>
      <c r="F191" s="40" t="str">
        <f aca="false">IF(E191="","",IF(E191=0,0,C191/E191))</f>
        <v/>
      </c>
      <c r="G191" s="33"/>
      <c r="H191" s="33"/>
      <c r="I191" s="34" t="str">
        <f aca="false">IF(OR(E191="",G191="",H191=""),"",E191*(G191-H191))</f>
        <v/>
      </c>
      <c r="J191" s="36" t="str">
        <f aca="false">IF(F191="","",IF(OR(F191&lt;운용규칙!$B$10,F191&gt;운용규칙!$B$11),"리밸런싱 필요","OK"))</f>
        <v/>
      </c>
    </row>
    <row r="192" customFormat="false" ht="15" hidden="false" customHeight="false" outlineLevel="0" collapsed="false">
      <c r="A192" s="29"/>
      <c r="B192" s="28"/>
      <c r="C192" s="32"/>
      <c r="D192" s="32"/>
      <c r="E192" s="39" t="str">
        <f aca="false">IF(OR(C192="",D192=""),"",C192+D192)</f>
        <v/>
      </c>
      <c r="F192" s="40" t="str">
        <f aca="false">IF(E192="","",IF(E192=0,0,C192/E192))</f>
        <v/>
      </c>
      <c r="G192" s="33"/>
      <c r="H192" s="33"/>
      <c r="I192" s="34" t="str">
        <f aca="false">IF(OR(E192="",G192="",H192=""),"",E192*(G192-H192))</f>
        <v/>
      </c>
      <c r="J192" s="36" t="str">
        <f aca="false">IF(F192="","",IF(OR(F192&lt;운용규칙!$B$10,F192&gt;운용규칙!$B$11),"리밸런싱 필요","OK"))</f>
        <v/>
      </c>
    </row>
    <row r="193" customFormat="false" ht="15" hidden="false" customHeight="false" outlineLevel="0" collapsed="false">
      <c r="A193" s="29"/>
      <c r="B193" s="28"/>
      <c r="C193" s="32"/>
      <c r="D193" s="32"/>
      <c r="E193" s="39" t="str">
        <f aca="false">IF(OR(C193="",D193=""),"",C193+D193)</f>
        <v/>
      </c>
      <c r="F193" s="40" t="str">
        <f aca="false">IF(E193="","",IF(E193=0,0,C193/E193))</f>
        <v/>
      </c>
      <c r="G193" s="33"/>
      <c r="H193" s="33"/>
      <c r="I193" s="34" t="str">
        <f aca="false">IF(OR(E193="",G193="",H193=""),"",E193*(G193-H193))</f>
        <v/>
      </c>
      <c r="J193" s="36" t="str">
        <f aca="false">IF(F193="","",IF(OR(F193&lt;운용규칙!$B$10,F193&gt;운용규칙!$B$11),"리밸런싱 필요","OK"))</f>
        <v/>
      </c>
    </row>
    <row r="194" customFormat="false" ht="15" hidden="false" customHeight="false" outlineLevel="0" collapsed="false">
      <c r="A194" s="29"/>
      <c r="B194" s="28"/>
      <c r="C194" s="32"/>
      <c r="D194" s="32"/>
      <c r="E194" s="39" t="str">
        <f aca="false">IF(OR(C194="",D194=""),"",C194+D194)</f>
        <v/>
      </c>
      <c r="F194" s="40" t="str">
        <f aca="false">IF(E194="","",IF(E194=0,0,C194/E194))</f>
        <v/>
      </c>
      <c r="G194" s="33"/>
      <c r="H194" s="33"/>
      <c r="I194" s="34" t="str">
        <f aca="false">IF(OR(E194="",G194="",H194=""),"",E194*(G194-H194))</f>
        <v/>
      </c>
      <c r="J194" s="36" t="str">
        <f aca="false">IF(F194="","",IF(OR(F194&lt;운용규칙!$B$10,F194&gt;운용규칙!$B$11),"리밸런싱 필요","OK"))</f>
        <v/>
      </c>
    </row>
    <row r="195" customFormat="false" ht="15" hidden="false" customHeight="false" outlineLevel="0" collapsed="false">
      <c r="A195" s="29"/>
      <c r="B195" s="28"/>
      <c r="C195" s="32"/>
      <c r="D195" s="32"/>
      <c r="E195" s="39" t="str">
        <f aca="false">IF(OR(C195="",D195=""),"",C195+D195)</f>
        <v/>
      </c>
      <c r="F195" s="40" t="str">
        <f aca="false">IF(E195="","",IF(E195=0,0,C195/E195))</f>
        <v/>
      </c>
      <c r="G195" s="33"/>
      <c r="H195" s="33"/>
      <c r="I195" s="34" t="str">
        <f aca="false">IF(OR(E195="",G195="",H195=""),"",E195*(G195-H195))</f>
        <v/>
      </c>
      <c r="J195" s="36" t="str">
        <f aca="false">IF(F195="","",IF(OR(F195&lt;운용규칙!$B$10,F195&gt;운용규칙!$B$11),"리밸런싱 필요","OK"))</f>
        <v/>
      </c>
    </row>
    <row r="196" customFormat="false" ht="15" hidden="false" customHeight="false" outlineLevel="0" collapsed="false">
      <c r="A196" s="29"/>
      <c r="B196" s="28"/>
      <c r="C196" s="32"/>
      <c r="D196" s="32"/>
      <c r="E196" s="39" t="str">
        <f aca="false">IF(OR(C196="",D196=""),"",C196+D196)</f>
        <v/>
      </c>
      <c r="F196" s="40" t="str">
        <f aca="false">IF(E196="","",IF(E196=0,0,C196/E196))</f>
        <v/>
      </c>
      <c r="G196" s="33"/>
      <c r="H196" s="33"/>
      <c r="I196" s="34" t="str">
        <f aca="false">IF(OR(E196="",G196="",H196=""),"",E196*(G196-H196))</f>
        <v/>
      </c>
      <c r="J196" s="36" t="str">
        <f aca="false">IF(F196="","",IF(OR(F196&lt;운용규칙!$B$10,F196&gt;운용규칙!$B$11),"리밸런싱 필요","OK"))</f>
        <v/>
      </c>
    </row>
    <row r="197" customFormat="false" ht="15" hidden="false" customHeight="false" outlineLevel="0" collapsed="false">
      <c r="A197" s="29"/>
      <c r="B197" s="28"/>
      <c r="C197" s="32"/>
      <c r="D197" s="32"/>
      <c r="E197" s="39" t="str">
        <f aca="false">IF(OR(C197="",D197=""),"",C197+D197)</f>
        <v/>
      </c>
      <c r="F197" s="40" t="str">
        <f aca="false">IF(E197="","",IF(E197=0,0,C197/E197))</f>
        <v/>
      </c>
      <c r="G197" s="33"/>
      <c r="H197" s="33"/>
      <c r="I197" s="34" t="str">
        <f aca="false">IF(OR(E197="",G197="",H197=""),"",E197*(G197-H197))</f>
        <v/>
      </c>
      <c r="J197" s="36" t="str">
        <f aca="false">IF(F197="","",IF(OR(F197&lt;운용규칙!$B$10,F197&gt;운용규칙!$B$11),"리밸런싱 필요","OK"))</f>
        <v/>
      </c>
    </row>
    <row r="198" customFormat="false" ht="15" hidden="false" customHeight="false" outlineLevel="0" collapsed="false">
      <c r="A198" s="29"/>
      <c r="B198" s="28"/>
      <c r="C198" s="32"/>
      <c r="D198" s="32"/>
      <c r="E198" s="39" t="str">
        <f aca="false">IF(OR(C198="",D198=""),"",C198+D198)</f>
        <v/>
      </c>
      <c r="F198" s="40" t="str">
        <f aca="false">IF(E198="","",IF(E198=0,0,C198/E198))</f>
        <v/>
      </c>
      <c r="G198" s="33"/>
      <c r="H198" s="33"/>
      <c r="I198" s="34" t="str">
        <f aca="false">IF(OR(E198="",G198="",H198=""),"",E198*(G198-H198))</f>
        <v/>
      </c>
      <c r="J198" s="36" t="str">
        <f aca="false">IF(F198="","",IF(OR(F198&lt;운용규칙!$B$10,F198&gt;운용규칙!$B$11),"리밸런싱 필요","OK"))</f>
        <v/>
      </c>
    </row>
    <row r="199" customFormat="false" ht="15" hidden="false" customHeight="false" outlineLevel="0" collapsed="false">
      <c r="A199" s="29"/>
      <c r="B199" s="28"/>
      <c r="C199" s="32"/>
      <c r="D199" s="32"/>
      <c r="E199" s="39" t="str">
        <f aca="false">IF(OR(C199="",D199=""),"",C199+D199)</f>
        <v/>
      </c>
      <c r="F199" s="40" t="str">
        <f aca="false">IF(E199="","",IF(E199=0,0,C199/E199))</f>
        <v/>
      </c>
      <c r="G199" s="33"/>
      <c r="H199" s="33"/>
      <c r="I199" s="34" t="str">
        <f aca="false">IF(OR(E199="",G199="",H199=""),"",E199*(G199-H199))</f>
        <v/>
      </c>
      <c r="J199" s="36" t="str">
        <f aca="false">IF(F199="","",IF(OR(F199&lt;운용규칙!$B$10,F199&gt;운용규칙!$B$11),"리밸런싱 필요","OK"))</f>
        <v/>
      </c>
    </row>
    <row r="200" customFormat="false" ht="15" hidden="false" customHeight="false" outlineLevel="0" collapsed="false">
      <c r="A200" s="29"/>
      <c r="B200" s="28"/>
      <c r="C200" s="32"/>
      <c r="D200" s="32"/>
      <c r="E200" s="39" t="str">
        <f aca="false">IF(OR(C200="",D200=""),"",C200+D200)</f>
        <v/>
      </c>
      <c r="F200" s="40" t="str">
        <f aca="false">IF(E200="","",IF(E200=0,0,C200/E200))</f>
        <v/>
      </c>
      <c r="G200" s="33"/>
      <c r="H200" s="33"/>
      <c r="I200" s="34" t="str">
        <f aca="false">IF(OR(E200="",G200="",H200=""),"",E200*(G200-H200))</f>
        <v/>
      </c>
      <c r="J200" s="36" t="str">
        <f aca="false">IF(F200="","",IF(OR(F200&lt;운용규칙!$B$10,F200&gt;운용규칙!$B$11),"리밸런싱 필요","OK"))</f>
        <v/>
      </c>
    </row>
    <row r="201" customFormat="false" ht="15" hidden="false" customHeight="false" outlineLevel="0" collapsed="false">
      <c r="A201" s="29"/>
      <c r="B201" s="28"/>
      <c r="C201" s="32"/>
      <c r="D201" s="32"/>
      <c r="E201" s="39" t="str">
        <f aca="false">IF(OR(C201="",D201=""),"",C201+D201)</f>
        <v/>
      </c>
      <c r="F201" s="40" t="str">
        <f aca="false">IF(E201="","",IF(E201=0,0,C201/E201))</f>
        <v/>
      </c>
      <c r="G201" s="33"/>
      <c r="H201" s="33"/>
      <c r="I201" s="34" t="str">
        <f aca="false">IF(OR(E201="",G201="",H201=""),"",E201*(G201-H201))</f>
        <v/>
      </c>
      <c r="J201" s="36" t="str">
        <f aca="false">IF(F201="","",IF(OR(F201&lt;운용규칙!$B$10,F201&gt;운용규칙!$B$11),"리밸런싱 필요","OK"))</f>
        <v/>
      </c>
    </row>
    <row r="202" customFormat="false" ht="15" hidden="false" customHeight="false" outlineLevel="0" collapsed="false">
      <c r="A202" s="29"/>
      <c r="B202" s="28"/>
      <c r="C202" s="32"/>
      <c r="D202" s="32"/>
      <c r="E202" s="39" t="str">
        <f aca="false">IF(OR(C202="",D202=""),"",C202+D202)</f>
        <v/>
      </c>
      <c r="F202" s="40" t="str">
        <f aca="false">IF(E202="","",IF(E202=0,0,C202/E202))</f>
        <v/>
      </c>
      <c r="G202" s="33"/>
      <c r="H202" s="33"/>
      <c r="I202" s="34" t="str">
        <f aca="false">IF(OR(E202="",G202="",H202=""),"",E202*(G202-H202))</f>
        <v/>
      </c>
      <c r="J202" s="36" t="str">
        <f aca="false">IF(F202="","",IF(OR(F202&lt;운용규칙!$B$10,F202&gt;운용규칙!$B$11),"리밸런싱 필요","OK"))</f>
        <v/>
      </c>
    </row>
    <row r="203" customFormat="false" ht="15" hidden="false" customHeight="false" outlineLevel="0" collapsed="false">
      <c r="A203" s="29"/>
      <c r="B203" s="28"/>
      <c r="C203" s="32"/>
      <c r="D203" s="32"/>
      <c r="E203" s="39" t="str">
        <f aca="false">IF(OR(C203="",D203=""),"",C203+D203)</f>
        <v/>
      </c>
      <c r="F203" s="40" t="str">
        <f aca="false">IF(E203="","",IF(E203=0,0,C203/E203))</f>
        <v/>
      </c>
      <c r="G203" s="33"/>
      <c r="H203" s="33"/>
      <c r="I203" s="34" t="str">
        <f aca="false">IF(OR(E203="",G203="",H203=""),"",E203*(G203-H203))</f>
        <v/>
      </c>
      <c r="J203" s="36" t="str">
        <f aca="false">IF(F203="","",IF(OR(F203&lt;운용규칙!$B$10,F203&gt;운용규칙!$B$11),"리밸런싱 필요","OK"))</f>
        <v/>
      </c>
    </row>
    <row r="204" customFormat="false" ht="15" hidden="false" customHeight="false" outlineLevel="0" collapsed="false">
      <c r="A204" s="29"/>
      <c r="B204" s="28"/>
      <c r="C204" s="32"/>
      <c r="D204" s="32"/>
      <c r="E204" s="39" t="str">
        <f aca="false">IF(OR(C204="",D204=""),"",C204+D204)</f>
        <v/>
      </c>
      <c r="F204" s="40" t="str">
        <f aca="false">IF(E204="","",IF(E204=0,0,C204/E204))</f>
        <v/>
      </c>
      <c r="G204" s="33"/>
      <c r="H204" s="33"/>
      <c r="I204" s="34" t="str">
        <f aca="false">IF(OR(E204="",G204="",H204=""),"",E204*(G204-H204))</f>
        <v/>
      </c>
      <c r="J204" s="36" t="str">
        <f aca="false">IF(F204="","",IF(OR(F204&lt;운용규칙!$B$10,F204&gt;운용규칙!$B$11),"리밸런싱 필요","OK"))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1.5" hidden="false" customHeight="true" outlineLevel="0" collapsed="false">
      <c r="A4" s="7" t="s">
        <v>51</v>
      </c>
      <c r="B4" s="6" t="s">
        <v>85</v>
      </c>
      <c r="C4" s="6" t="s">
        <v>86</v>
      </c>
      <c r="D4" s="6" t="s">
        <v>63</v>
      </c>
      <c r="E4" s="7" t="s">
        <v>87</v>
      </c>
      <c r="F4" s="6" t="s">
        <v>88</v>
      </c>
      <c r="G4" s="6" t="s">
        <v>81</v>
      </c>
      <c r="H4" s="6" t="s">
        <v>89</v>
      </c>
      <c r="I4" s="6" t="s">
        <v>90</v>
      </c>
      <c r="J4" s="6" t="s">
        <v>91</v>
      </c>
      <c r="K4" s="6" t="s">
        <v>92</v>
      </c>
      <c r="L4" s="6" t="s">
        <v>93</v>
      </c>
    </row>
    <row r="5" customFormat="false" ht="15" hidden="false" customHeight="false" outlineLevel="0" collapsed="false">
      <c r="A5" s="19" t="n">
        <v>46309</v>
      </c>
      <c r="B5" s="27" t="n">
        <f aca="false">IF($A5="","",COUNTIFS(매매일지!$B:$B,$A5))</f>
        <v>1</v>
      </c>
      <c r="C5" s="25" t="n">
        <f aca="false">IF($A5="","",SUMIFS(매매일지!$L:$L,매매일지!$B:$B,$A5)-SUMIFS(매매일지!$K:$K,매매일지!$B:$B,$A5))</f>
        <v>268.199999999997</v>
      </c>
      <c r="D5" s="25" t="n">
        <f aca="false">IF($A5="","",SUMIFS(매매일지!$N:$N,매매일지!$B:$B,$A5))</f>
        <v>89.9811</v>
      </c>
      <c r="E5" s="41" t="n">
        <v>0</v>
      </c>
      <c r="F5" s="25" t="n">
        <f aca="false">IF($A5="","",C5-D5-N(E5))</f>
        <v>178.218899999997</v>
      </c>
      <c r="G5" s="25" t="n">
        <f aca="false">IF($A5="","",SUMIFS(재고!$I:$I,재고!$A:$A,$A5))</f>
        <v>900</v>
      </c>
      <c r="H5" s="25" t="n">
        <f aca="false">IF($A5="","",F5+G5)</f>
        <v>1078.2189</v>
      </c>
      <c r="I5" s="25" t="n">
        <f aca="false">IF($A5="","",SUM($F$5:F5))</f>
        <v>178.218899999997</v>
      </c>
      <c r="J5" s="25" t="n">
        <f aca="false">IF($A5="","",SUM($H$5:H5))</f>
        <v>1078.2189</v>
      </c>
      <c r="K5" s="27" t="str">
        <f aca="false">IF($A5="","",IF(H5&lt;-운용규칙!$B$9,"한도초과","OK"))</f>
        <v>OK</v>
      </c>
      <c r="L5" s="27" t="n">
        <f aca="false">IF($A5="","",COUNTIFS(매매일지!$B:$B,$A5,매매일지!$R:$R,"위반"))</f>
        <v>0</v>
      </c>
    </row>
    <row r="6" customFormat="false" ht="15" hidden="false" customHeight="false" outlineLevel="0" collapsed="false">
      <c r="A6" s="29"/>
      <c r="B6" s="36" t="str">
        <f aca="false">IF($A6="","",COUNTIFS(매매일지!$B:$B,$A6))</f>
        <v/>
      </c>
      <c r="C6" s="34" t="str">
        <f aca="false">IF($A6="","",SUMIFS(매매일지!$L:$L,매매일지!$B:$B,$A6)-SUMIFS(매매일지!$K:$K,매매일지!$B:$B,$A6))</f>
        <v/>
      </c>
      <c r="D6" s="34" t="str">
        <f aca="false">IF($A6="","",SUMIFS(매매일지!$N:$N,매매일지!$B:$B,$A6))</f>
        <v/>
      </c>
      <c r="E6" s="42"/>
      <c r="F6" s="34" t="str">
        <f aca="false">IF($A6="","",C6-D6-N(E6))</f>
        <v/>
      </c>
      <c r="G6" s="34" t="str">
        <f aca="false">IF($A6="","",SUMIFS(재고!$I:$I,재고!$A:$A,$A6))</f>
        <v/>
      </c>
      <c r="H6" s="34" t="str">
        <f aca="false">IF($A6="","",F6+G6)</f>
        <v/>
      </c>
      <c r="I6" s="34" t="str">
        <f aca="false">IF($A6="","",SUM($F$5:F6))</f>
        <v/>
      </c>
      <c r="J6" s="34" t="str">
        <f aca="false">IF($A6="","",SUM($H$5:H6))</f>
        <v/>
      </c>
      <c r="K6" s="36" t="str">
        <f aca="false">IF($A6="","",IF(H6&lt;-운용규칙!$B$9,"한도초과","OK"))</f>
        <v/>
      </c>
      <c r="L6" s="36" t="str">
        <f aca="false">IF($A6="","",COUNTIFS(매매일지!$B:$B,$A6,매매일지!$R:$R,"위반"))</f>
        <v/>
      </c>
    </row>
    <row r="7" customFormat="false" ht="15" hidden="false" customHeight="false" outlineLevel="0" collapsed="false">
      <c r="A7" s="29"/>
      <c r="B7" s="36" t="str">
        <f aca="false">IF($A7="","",COUNTIFS(매매일지!$B:$B,$A7))</f>
        <v/>
      </c>
      <c r="C7" s="34" t="str">
        <f aca="false">IF($A7="","",SUMIFS(매매일지!$L:$L,매매일지!$B:$B,$A7)-SUMIFS(매매일지!$K:$K,매매일지!$B:$B,$A7))</f>
        <v/>
      </c>
      <c r="D7" s="34" t="str">
        <f aca="false">IF($A7="","",SUMIFS(매매일지!$N:$N,매매일지!$B:$B,$A7))</f>
        <v/>
      </c>
      <c r="E7" s="42"/>
      <c r="F7" s="34" t="str">
        <f aca="false">IF($A7="","",C7-D7-N(E7))</f>
        <v/>
      </c>
      <c r="G7" s="34" t="str">
        <f aca="false">IF($A7="","",SUMIFS(재고!$I:$I,재고!$A:$A,$A7))</f>
        <v/>
      </c>
      <c r="H7" s="34" t="str">
        <f aca="false">IF($A7="","",F7+G7)</f>
        <v/>
      </c>
      <c r="I7" s="34" t="str">
        <f aca="false">IF($A7="","",SUM($F$5:F7))</f>
        <v/>
      </c>
      <c r="J7" s="34" t="str">
        <f aca="false">IF($A7="","",SUM($H$5:H7))</f>
        <v/>
      </c>
      <c r="K7" s="36" t="str">
        <f aca="false">IF($A7="","",IF(H7&lt;-운용규칙!$B$9,"한도초과","OK"))</f>
        <v/>
      </c>
      <c r="L7" s="36" t="str">
        <f aca="false">IF($A7="","",COUNTIFS(매매일지!$B:$B,$A7,매매일지!$R:$R,"위반"))</f>
        <v/>
      </c>
    </row>
    <row r="8" customFormat="false" ht="15" hidden="false" customHeight="false" outlineLevel="0" collapsed="false">
      <c r="A8" s="29"/>
      <c r="B8" s="36" t="str">
        <f aca="false">IF($A8="","",COUNTIFS(매매일지!$B:$B,$A8))</f>
        <v/>
      </c>
      <c r="C8" s="34" t="str">
        <f aca="false">IF($A8="","",SUMIFS(매매일지!$L:$L,매매일지!$B:$B,$A8)-SUMIFS(매매일지!$K:$K,매매일지!$B:$B,$A8))</f>
        <v/>
      </c>
      <c r="D8" s="34" t="str">
        <f aca="false">IF($A8="","",SUMIFS(매매일지!$N:$N,매매일지!$B:$B,$A8))</f>
        <v/>
      </c>
      <c r="E8" s="42"/>
      <c r="F8" s="34" t="str">
        <f aca="false">IF($A8="","",C8-D8-N(E8))</f>
        <v/>
      </c>
      <c r="G8" s="34" t="str">
        <f aca="false">IF($A8="","",SUMIFS(재고!$I:$I,재고!$A:$A,$A8))</f>
        <v/>
      </c>
      <c r="H8" s="34" t="str">
        <f aca="false">IF($A8="","",F8+G8)</f>
        <v/>
      </c>
      <c r="I8" s="34" t="str">
        <f aca="false">IF($A8="","",SUM($F$5:F8))</f>
        <v/>
      </c>
      <c r="J8" s="34" t="str">
        <f aca="false">IF($A8="","",SUM($H$5:H8))</f>
        <v/>
      </c>
      <c r="K8" s="36" t="str">
        <f aca="false">IF($A8="","",IF(H8&lt;-운용규칙!$B$9,"한도초과","OK"))</f>
        <v/>
      </c>
      <c r="L8" s="36" t="str">
        <f aca="false">IF($A8="","",COUNTIFS(매매일지!$B:$B,$A8,매매일지!$R:$R,"위반"))</f>
        <v/>
      </c>
    </row>
    <row r="9" customFormat="false" ht="15" hidden="false" customHeight="false" outlineLevel="0" collapsed="false">
      <c r="A9" s="29"/>
      <c r="B9" s="36" t="str">
        <f aca="false">IF($A9="","",COUNTIFS(매매일지!$B:$B,$A9))</f>
        <v/>
      </c>
      <c r="C9" s="34" t="str">
        <f aca="false">IF($A9="","",SUMIFS(매매일지!$L:$L,매매일지!$B:$B,$A9)-SUMIFS(매매일지!$K:$K,매매일지!$B:$B,$A9))</f>
        <v/>
      </c>
      <c r="D9" s="34" t="str">
        <f aca="false">IF($A9="","",SUMIFS(매매일지!$N:$N,매매일지!$B:$B,$A9))</f>
        <v/>
      </c>
      <c r="E9" s="42"/>
      <c r="F9" s="34" t="str">
        <f aca="false">IF($A9="","",C9-D9-N(E9))</f>
        <v/>
      </c>
      <c r="G9" s="34" t="str">
        <f aca="false">IF($A9="","",SUMIFS(재고!$I:$I,재고!$A:$A,$A9))</f>
        <v/>
      </c>
      <c r="H9" s="34" t="str">
        <f aca="false">IF($A9="","",F9+G9)</f>
        <v/>
      </c>
      <c r="I9" s="34" t="str">
        <f aca="false">IF($A9="","",SUM($F$5:F9))</f>
        <v/>
      </c>
      <c r="J9" s="34" t="str">
        <f aca="false">IF($A9="","",SUM($H$5:H9))</f>
        <v/>
      </c>
      <c r="K9" s="36" t="str">
        <f aca="false">IF($A9="","",IF(H9&lt;-운용규칙!$B$9,"한도초과","OK"))</f>
        <v/>
      </c>
      <c r="L9" s="36" t="str">
        <f aca="false">IF($A9="","",COUNTIFS(매매일지!$B:$B,$A9,매매일지!$R:$R,"위반"))</f>
        <v/>
      </c>
    </row>
    <row r="10" customFormat="false" ht="15" hidden="false" customHeight="false" outlineLevel="0" collapsed="false">
      <c r="A10" s="29"/>
      <c r="B10" s="36" t="str">
        <f aca="false">IF($A10="","",COUNTIFS(매매일지!$B:$B,$A10))</f>
        <v/>
      </c>
      <c r="C10" s="34" t="str">
        <f aca="false">IF($A10="","",SUMIFS(매매일지!$L:$L,매매일지!$B:$B,$A10)-SUMIFS(매매일지!$K:$K,매매일지!$B:$B,$A10))</f>
        <v/>
      </c>
      <c r="D10" s="34" t="str">
        <f aca="false">IF($A10="","",SUMIFS(매매일지!$N:$N,매매일지!$B:$B,$A10))</f>
        <v/>
      </c>
      <c r="E10" s="42"/>
      <c r="F10" s="34" t="str">
        <f aca="false">IF($A10="","",C10-D10-N(E10))</f>
        <v/>
      </c>
      <c r="G10" s="34" t="str">
        <f aca="false">IF($A10="","",SUMIFS(재고!$I:$I,재고!$A:$A,$A10))</f>
        <v/>
      </c>
      <c r="H10" s="34" t="str">
        <f aca="false">IF($A10="","",F10+G10)</f>
        <v/>
      </c>
      <c r="I10" s="34" t="str">
        <f aca="false">IF($A10="","",SUM($F$5:F10))</f>
        <v/>
      </c>
      <c r="J10" s="34" t="str">
        <f aca="false">IF($A10="","",SUM($H$5:H10))</f>
        <v/>
      </c>
      <c r="K10" s="36" t="str">
        <f aca="false">IF($A10="","",IF(H10&lt;-운용규칙!$B$9,"한도초과","OK"))</f>
        <v/>
      </c>
      <c r="L10" s="36" t="str">
        <f aca="false">IF($A10="","",COUNTIFS(매매일지!$B:$B,$A10,매매일지!$R:$R,"위반"))</f>
        <v/>
      </c>
    </row>
    <row r="11" customFormat="false" ht="15" hidden="false" customHeight="false" outlineLevel="0" collapsed="false">
      <c r="A11" s="29"/>
      <c r="B11" s="36" t="str">
        <f aca="false">IF($A11="","",COUNTIFS(매매일지!$B:$B,$A11))</f>
        <v/>
      </c>
      <c r="C11" s="34" t="str">
        <f aca="false">IF($A11="","",SUMIFS(매매일지!$L:$L,매매일지!$B:$B,$A11)-SUMIFS(매매일지!$K:$K,매매일지!$B:$B,$A11))</f>
        <v/>
      </c>
      <c r="D11" s="34" t="str">
        <f aca="false">IF($A11="","",SUMIFS(매매일지!$N:$N,매매일지!$B:$B,$A11))</f>
        <v/>
      </c>
      <c r="E11" s="42"/>
      <c r="F11" s="34" t="str">
        <f aca="false">IF($A11="","",C11-D11-N(E11))</f>
        <v/>
      </c>
      <c r="G11" s="34" t="str">
        <f aca="false">IF($A11="","",SUMIFS(재고!$I:$I,재고!$A:$A,$A11))</f>
        <v/>
      </c>
      <c r="H11" s="34" t="str">
        <f aca="false">IF($A11="","",F11+G11)</f>
        <v/>
      </c>
      <c r="I11" s="34" t="str">
        <f aca="false">IF($A11="","",SUM($F$5:F11))</f>
        <v/>
      </c>
      <c r="J11" s="34" t="str">
        <f aca="false">IF($A11="","",SUM($H$5:H11))</f>
        <v/>
      </c>
      <c r="K11" s="36" t="str">
        <f aca="false">IF($A11="","",IF(H11&lt;-운용규칙!$B$9,"한도초과","OK"))</f>
        <v/>
      </c>
      <c r="L11" s="36" t="str">
        <f aca="false">IF($A11="","",COUNTIFS(매매일지!$B:$B,$A11,매매일지!$R:$R,"위반"))</f>
        <v/>
      </c>
    </row>
    <row r="12" customFormat="false" ht="15" hidden="false" customHeight="false" outlineLevel="0" collapsed="false">
      <c r="A12" s="29"/>
      <c r="B12" s="36" t="str">
        <f aca="false">IF($A12="","",COUNTIFS(매매일지!$B:$B,$A12))</f>
        <v/>
      </c>
      <c r="C12" s="34" t="str">
        <f aca="false">IF($A12="","",SUMIFS(매매일지!$L:$L,매매일지!$B:$B,$A12)-SUMIFS(매매일지!$K:$K,매매일지!$B:$B,$A12))</f>
        <v/>
      </c>
      <c r="D12" s="34" t="str">
        <f aca="false">IF($A12="","",SUMIFS(매매일지!$N:$N,매매일지!$B:$B,$A12))</f>
        <v/>
      </c>
      <c r="E12" s="42"/>
      <c r="F12" s="34" t="str">
        <f aca="false">IF($A12="","",C12-D12-N(E12))</f>
        <v/>
      </c>
      <c r="G12" s="34" t="str">
        <f aca="false">IF($A12="","",SUMIFS(재고!$I:$I,재고!$A:$A,$A12))</f>
        <v/>
      </c>
      <c r="H12" s="34" t="str">
        <f aca="false">IF($A12="","",F12+G12)</f>
        <v/>
      </c>
      <c r="I12" s="34" t="str">
        <f aca="false">IF($A12="","",SUM($F$5:F12))</f>
        <v/>
      </c>
      <c r="J12" s="34" t="str">
        <f aca="false">IF($A12="","",SUM($H$5:H12))</f>
        <v/>
      </c>
      <c r="K12" s="36" t="str">
        <f aca="false">IF($A12="","",IF(H12&lt;-운용규칙!$B$9,"한도초과","OK"))</f>
        <v/>
      </c>
      <c r="L12" s="36" t="str">
        <f aca="false">IF($A12="","",COUNTIFS(매매일지!$B:$B,$A12,매매일지!$R:$R,"위반"))</f>
        <v/>
      </c>
    </row>
    <row r="13" customFormat="false" ht="15" hidden="false" customHeight="false" outlineLevel="0" collapsed="false">
      <c r="A13" s="29"/>
      <c r="B13" s="36" t="str">
        <f aca="false">IF($A13="","",COUNTIFS(매매일지!$B:$B,$A13))</f>
        <v/>
      </c>
      <c r="C13" s="34" t="str">
        <f aca="false">IF($A13="","",SUMIFS(매매일지!$L:$L,매매일지!$B:$B,$A13)-SUMIFS(매매일지!$K:$K,매매일지!$B:$B,$A13))</f>
        <v/>
      </c>
      <c r="D13" s="34" t="str">
        <f aca="false">IF($A13="","",SUMIFS(매매일지!$N:$N,매매일지!$B:$B,$A13))</f>
        <v/>
      </c>
      <c r="E13" s="42"/>
      <c r="F13" s="34" t="str">
        <f aca="false">IF($A13="","",C13-D13-N(E13))</f>
        <v/>
      </c>
      <c r="G13" s="34" t="str">
        <f aca="false">IF($A13="","",SUMIFS(재고!$I:$I,재고!$A:$A,$A13))</f>
        <v/>
      </c>
      <c r="H13" s="34" t="str">
        <f aca="false">IF($A13="","",F13+G13)</f>
        <v/>
      </c>
      <c r="I13" s="34" t="str">
        <f aca="false">IF($A13="","",SUM($F$5:F13))</f>
        <v/>
      </c>
      <c r="J13" s="34" t="str">
        <f aca="false">IF($A13="","",SUM($H$5:H13))</f>
        <v/>
      </c>
      <c r="K13" s="36" t="str">
        <f aca="false">IF($A13="","",IF(H13&lt;-운용규칙!$B$9,"한도초과","OK"))</f>
        <v/>
      </c>
      <c r="L13" s="36" t="str">
        <f aca="false">IF($A13="","",COUNTIFS(매매일지!$B:$B,$A13,매매일지!$R:$R,"위반"))</f>
        <v/>
      </c>
    </row>
    <row r="14" customFormat="false" ht="15" hidden="false" customHeight="false" outlineLevel="0" collapsed="false">
      <c r="A14" s="29"/>
      <c r="B14" s="36" t="str">
        <f aca="false">IF($A14="","",COUNTIFS(매매일지!$B:$B,$A14))</f>
        <v/>
      </c>
      <c r="C14" s="34" t="str">
        <f aca="false">IF($A14="","",SUMIFS(매매일지!$L:$L,매매일지!$B:$B,$A14)-SUMIFS(매매일지!$K:$K,매매일지!$B:$B,$A14))</f>
        <v/>
      </c>
      <c r="D14" s="34" t="str">
        <f aca="false">IF($A14="","",SUMIFS(매매일지!$N:$N,매매일지!$B:$B,$A14))</f>
        <v/>
      </c>
      <c r="E14" s="42"/>
      <c r="F14" s="34" t="str">
        <f aca="false">IF($A14="","",C14-D14-N(E14))</f>
        <v/>
      </c>
      <c r="G14" s="34" t="str">
        <f aca="false">IF($A14="","",SUMIFS(재고!$I:$I,재고!$A:$A,$A14))</f>
        <v/>
      </c>
      <c r="H14" s="34" t="str">
        <f aca="false">IF($A14="","",F14+G14)</f>
        <v/>
      </c>
      <c r="I14" s="34" t="str">
        <f aca="false">IF($A14="","",SUM($F$5:F14))</f>
        <v/>
      </c>
      <c r="J14" s="34" t="str">
        <f aca="false">IF($A14="","",SUM($H$5:H14))</f>
        <v/>
      </c>
      <c r="K14" s="36" t="str">
        <f aca="false">IF($A14="","",IF(H14&lt;-운용규칙!$B$9,"한도초과","OK"))</f>
        <v/>
      </c>
      <c r="L14" s="36" t="str">
        <f aca="false">IF($A14="","",COUNTIFS(매매일지!$B:$B,$A14,매매일지!$R:$R,"위반"))</f>
        <v/>
      </c>
    </row>
    <row r="15" customFormat="false" ht="15" hidden="false" customHeight="false" outlineLevel="0" collapsed="false">
      <c r="A15" s="29"/>
      <c r="B15" s="36" t="str">
        <f aca="false">IF($A15="","",COUNTIFS(매매일지!$B:$B,$A15))</f>
        <v/>
      </c>
      <c r="C15" s="34" t="str">
        <f aca="false">IF($A15="","",SUMIFS(매매일지!$L:$L,매매일지!$B:$B,$A15)-SUMIFS(매매일지!$K:$K,매매일지!$B:$B,$A15))</f>
        <v/>
      </c>
      <c r="D15" s="34" t="str">
        <f aca="false">IF($A15="","",SUMIFS(매매일지!$N:$N,매매일지!$B:$B,$A15))</f>
        <v/>
      </c>
      <c r="E15" s="42"/>
      <c r="F15" s="34" t="str">
        <f aca="false">IF($A15="","",C15-D15-N(E15))</f>
        <v/>
      </c>
      <c r="G15" s="34" t="str">
        <f aca="false">IF($A15="","",SUMIFS(재고!$I:$I,재고!$A:$A,$A15))</f>
        <v/>
      </c>
      <c r="H15" s="34" t="str">
        <f aca="false">IF($A15="","",F15+G15)</f>
        <v/>
      </c>
      <c r="I15" s="34" t="str">
        <f aca="false">IF($A15="","",SUM($F$5:F15))</f>
        <v/>
      </c>
      <c r="J15" s="34" t="str">
        <f aca="false">IF($A15="","",SUM($H$5:H15))</f>
        <v/>
      </c>
      <c r="K15" s="36" t="str">
        <f aca="false">IF($A15="","",IF(H15&lt;-운용규칙!$B$9,"한도초과","OK"))</f>
        <v/>
      </c>
      <c r="L15" s="36" t="str">
        <f aca="false">IF($A15="","",COUNTIFS(매매일지!$B:$B,$A15,매매일지!$R:$R,"위반"))</f>
        <v/>
      </c>
    </row>
    <row r="16" customFormat="false" ht="15" hidden="false" customHeight="false" outlineLevel="0" collapsed="false">
      <c r="A16" s="29"/>
      <c r="B16" s="36" t="str">
        <f aca="false">IF($A16="","",COUNTIFS(매매일지!$B:$B,$A16))</f>
        <v/>
      </c>
      <c r="C16" s="34" t="str">
        <f aca="false">IF($A16="","",SUMIFS(매매일지!$L:$L,매매일지!$B:$B,$A16)-SUMIFS(매매일지!$K:$K,매매일지!$B:$B,$A16))</f>
        <v/>
      </c>
      <c r="D16" s="34" t="str">
        <f aca="false">IF($A16="","",SUMIFS(매매일지!$N:$N,매매일지!$B:$B,$A16))</f>
        <v/>
      </c>
      <c r="E16" s="42"/>
      <c r="F16" s="34" t="str">
        <f aca="false">IF($A16="","",C16-D16-N(E16))</f>
        <v/>
      </c>
      <c r="G16" s="34" t="str">
        <f aca="false">IF($A16="","",SUMIFS(재고!$I:$I,재고!$A:$A,$A16))</f>
        <v/>
      </c>
      <c r="H16" s="34" t="str">
        <f aca="false">IF($A16="","",F16+G16)</f>
        <v/>
      </c>
      <c r="I16" s="34" t="str">
        <f aca="false">IF($A16="","",SUM($F$5:F16))</f>
        <v/>
      </c>
      <c r="J16" s="34" t="str">
        <f aca="false">IF($A16="","",SUM($H$5:H16))</f>
        <v/>
      </c>
      <c r="K16" s="36" t="str">
        <f aca="false">IF($A16="","",IF(H16&lt;-운용규칙!$B$9,"한도초과","OK"))</f>
        <v/>
      </c>
      <c r="L16" s="36" t="str">
        <f aca="false">IF($A16="","",COUNTIFS(매매일지!$B:$B,$A16,매매일지!$R:$R,"위반"))</f>
        <v/>
      </c>
    </row>
    <row r="17" customFormat="false" ht="15" hidden="false" customHeight="false" outlineLevel="0" collapsed="false">
      <c r="A17" s="29"/>
      <c r="B17" s="36" t="str">
        <f aca="false">IF($A17="","",COUNTIFS(매매일지!$B:$B,$A17))</f>
        <v/>
      </c>
      <c r="C17" s="34" t="str">
        <f aca="false">IF($A17="","",SUMIFS(매매일지!$L:$L,매매일지!$B:$B,$A17)-SUMIFS(매매일지!$K:$K,매매일지!$B:$B,$A17))</f>
        <v/>
      </c>
      <c r="D17" s="34" t="str">
        <f aca="false">IF($A17="","",SUMIFS(매매일지!$N:$N,매매일지!$B:$B,$A17))</f>
        <v/>
      </c>
      <c r="E17" s="42"/>
      <c r="F17" s="34" t="str">
        <f aca="false">IF($A17="","",C17-D17-N(E17))</f>
        <v/>
      </c>
      <c r="G17" s="34" t="str">
        <f aca="false">IF($A17="","",SUMIFS(재고!$I:$I,재고!$A:$A,$A17))</f>
        <v/>
      </c>
      <c r="H17" s="34" t="str">
        <f aca="false">IF($A17="","",F17+G17)</f>
        <v/>
      </c>
      <c r="I17" s="34" t="str">
        <f aca="false">IF($A17="","",SUM($F$5:F17))</f>
        <v/>
      </c>
      <c r="J17" s="34" t="str">
        <f aca="false">IF($A17="","",SUM($H$5:H17))</f>
        <v/>
      </c>
      <c r="K17" s="36" t="str">
        <f aca="false">IF($A17="","",IF(H17&lt;-운용규칙!$B$9,"한도초과","OK"))</f>
        <v/>
      </c>
      <c r="L17" s="36" t="str">
        <f aca="false">IF($A17="","",COUNTIFS(매매일지!$B:$B,$A17,매매일지!$R:$R,"위반"))</f>
        <v/>
      </c>
    </row>
    <row r="18" customFormat="false" ht="15" hidden="false" customHeight="false" outlineLevel="0" collapsed="false">
      <c r="A18" s="29"/>
      <c r="B18" s="36" t="str">
        <f aca="false">IF($A18="","",COUNTIFS(매매일지!$B:$B,$A18))</f>
        <v/>
      </c>
      <c r="C18" s="34" t="str">
        <f aca="false">IF($A18="","",SUMIFS(매매일지!$L:$L,매매일지!$B:$B,$A18)-SUMIFS(매매일지!$K:$K,매매일지!$B:$B,$A18))</f>
        <v/>
      </c>
      <c r="D18" s="34" t="str">
        <f aca="false">IF($A18="","",SUMIFS(매매일지!$N:$N,매매일지!$B:$B,$A18))</f>
        <v/>
      </c>
      <c r="E18" s="42"/>
      <c r="F18" s="34" t="str">
        <f aca="false">IF($A18="","",C18-D18-N(E18))</f>
        <v/>
      </c>
      <c r="G18" s="34" t="str">
        <f aca="false">IF($A18="","",SUMIFS(재고!$I:$I,재고!$A:$A,$A18))</f>
        <v/>
      </c>
      <c r="H18" s="34" t="str">
        <f aca="false">IF($A18="","",F18+G18)</f>
        <v/>
      </c>
      <c r="I18" s="34" t="str">
        <f aca="false">IF($A18="","",SUM($F$5:F18))</f>
        <v/>
      </c>
      <c r="J18" s="34" t="str">
        <f aca="false">IF($A18="","",SUM($H$5:H18))</f>
        <v/>
      </c>
      <c r="K18" s="36" t="str">
        <f aca="false">IF($A18="","",IF(H18&lt;-운용규칙!$B$9,"한도초과","OK"))</f>
        <v/>
      </c>
      <c r="L18" s="36" t="str">
        <f aca="false">IF($A18="","",COUNTIFS(매매일지!$B:$B,$A18,매매일지!$R:$R,"위반"))</f>
        <v/>
      </c>
    </row>
    <row r="19" customFormat="false" ht="15" hidden="false" customHeight="false" outlineLevel="0" collapsed="false">
      <c r="A19" s="29"/>
      <c r="B19" s="36" t="str">
        <f aca="false">IF($A19="","",COUNTIFS(매매일지!$B:$B,$A19))</f>
        <v/>
      </c>
      <c r="C19" s="34" t="str">
        <f aca="false">IF($A19="","",SUMIFS(매매일지!$L:$L,매매일지!$B:$B,$A19)-SUMIFS(매매일지!$K:$K,매매일지!$B:$B,$A19))</f>
        <v/>
      </c>
      <c r="D19" s="34" t="str">
        <f aca="false">IF($A19="","",SUMIFS(매매일지!$N:$N,매매일지!$B:$B,$A19))</f>
        <v/>
      </c>
      <c r="E19" s="42"/>
      <c r="F19" s="34" t="str">
        <f aca="false">IF($A19="","",C19-D19-N(E19))</f>
        <v/>
      </c>
      <c r="G19" s="34" t="str">
        <f aca="false">IF($A19="","",SUMIFS(재고!$I:$I,재고!$A:$A,$A19))</f>
        <v/>
      </c>
      <c r="H19" s="34" t="str">
        <f aca="false">IF($A19="","",F19+G19)</f>
        <v/>
      </c>
      <c r="I19" s="34" t="str">
        <f aca="false">IF($A19="","",SUM($F$5:F19))</f>
        <v/>
      </c>
      <c r="J19" s="34" t="str">
        <f aca="false">IF($A19="","",SUM($H$5:H19))</f>
        <v/>
      </c>
      <c r="K19" s="36" t="str">
        <f aca="false">IF($A19="","",IF(H19&lt;-운용규칙!$B$9,"한도초과","OK"))</f>
        <v/>
      </c>
      <c r="L19" s="36" t="str">
        <f aca="false">IF($A19="","",COUNTIFS(매매일지!$B:$B,$A19,매매일지!$R:$R,"위반"))</f>
        <v/>
      </c>
    </row>
    <row r="20" customFormat="false" ht="15" hidden="false" customHeight="false" outlineLevel="0" collapsed="false">
      <c r="A20" s="29"/>
      <c r="B20" s="36" t="str">
        <f aca="false">IF($A20="","",COUNTIFS(매매일지!$B:$B,$A20))</f>
        <v/>
      </c>
      <c r="C20" s="34" t="str">
        <f aca="false">IF($A20="","",SUMIFS(매매일지!$L:$L,매매일지!$B:$B,$A20)-SUMIFS(매매일지!$K:$K,매매일지!$B:$B,$A20))</f>
        <v/>
      </c>
      <c r="D20" s="34" t="str">
        <f aca="false">IF($A20="","",SUMIFS(매매일지!$N:$N,매매일지!$B:$B,$A20))</f>
        <v/>
      </c>
      <c r="E20" s="42"/>
      <c r="F20" s="34" t="str">
        <f aca="false">IF($A20="","",C20-D20-N(E20))</f>
        <v/>
      </c>
      <c r="G20" s="34" t="str">
        <f aca="false">IF($A20="","",SUMIFS(재고!$I:$I,재고!$A:$A,$A20))</f>
        <v/>
      </c>
      <c r="H20" s="34" t="str">
        <f aca="false">IF($A20="","",F20+G20)</f>
        <v/>
      </c>
      <c r="I20" s="34" t="str">
        <f aca="false">IF($A20="","",SUM($F$5:F20))</f>
        <v/>
      </c>
      <c r="J20" s="34" t="str">
        <f aca="false">IF($A20="","",SUM($H$5:H20))</f>
        <v/>
      </c>
      <c r="K20" s="36" t="str">
        <f aca="false">IF($A20="","",IF(H20&lt;-운용규칙!$B$9,"한도초과","OK"))</f>
        <v/>
      </c>
      <c r="L20" s="36" t="str">
        <f aca="false">IF($A20="","",COUNTIFS(매매일지!$B:$B,$A20,매매일지!$R:$R,"위반"))</f>
        <v/>
      </c>
    </row>
    <row r="21" customFormat="false" ht="15" hidden="false" customHeight="false" outlineLevel="0" collapsed="false">
      <c r="A21" s="29"/>
      <c r="B21" s="36" t="str">
        <f aca="false">IF($A21="","",COUNTIFS(매매일지!$B:$B,$A21))</f>
        <v/>
      </c>
      <c r="C21" s="34" t="str">
        <f aca="false">IF($A21="","",SUMIFS(매매일지!$L:$L,매매일지!$B:$B,$A21)-SUMIFS(매매일지!$K:$K,매매일지!$B:$B,$A21))</f>
        <v/>
      </c>
      <c r="D21" s="34" t="str">
        <f aca="false">IF($A21="","",SUMIFS(매매일지!$N:$N,매매일지!$B:$B,$A21))</f>
        <v/>
      </c>
      <c r="E21" s="42"/>
      <c r="F21" s="34" t="str">
        <f aca="false">IF($A21="","",C21-D21-N(E21))</f>
        <v/>
      </c>
      <c r="G21" s="34" t="str">
        <f aca="false">IF($A21="","",SUMIFS(재고!$I:$I,재고!$A:$A,$A21))</f>
        <v/>
      </c>
      <c r="H21" s="34" t="str">
        <f aca="false">IF($A21="","",F21+G21)</f>
        <v/>
      </c>
      <c r="I21" s="34" t="str">
        <f aca="false">IF($A21="","",SUM($F$5:F21))</f>
        <v/>
      </c>
      <c r="J21" s="34" t="str">
        <f aca="false">IF($A21="","",SUM($H$5:H21))</f>
        <v/>
      </c>
      <c r="K21" s="36" t="str">
        <f aca="false">IF($A21="","",IF(H21&lt;-운용규칙!$B$9,"한도초과","OK"))</f>
        <v/>
      </c>
      <c r="L21" s="36" t="str">
        <f aca="false">IF($A21="","",COUNTIFS(매매일지!$B:$B,$A21,매매일지!$R:$R,"위반"))</f>
        <v/>
      </c>
    </row>
    <row r="22" customFormat="false" ht="15" hidden="false" customHeight="false" outlineLevel="0" collapsed="false">
      <c r="A22" s="29"/>
      <c r="B22" s="36" t="str">
        <f aca="false">IF($A22="","",COUNTIFS(매매일지!$B:$B,$A22))</f>
        <v/>
      </c>
      <c r="C22" s="34" t="str">
        <f aca="false">IF($A22="","",SUMIFS(매매일지!$L:$L,매매일지!$B:$B,$A22)-SUMIFS(매매일지!$K:$K,매매일지!$B:$B,$A22))</f>
        <v/>
      </c>
      <c r="D22" s="34" t="str">
        <f aca="false">IF($A22="","",SUMIFS(매매일지!$N:$N,매매일지!$B:$B,$A22))</f>
        <v/>
      </c>
      <c r="E22" s="42"/>
      <c r="F22" s="34" t="str">
        <f aca="false">IF($A22="","",C22-D22-N(E22))</f>
        <v/>
      </c>
      <c r="G22" s="34" t="str">
        <f aca="false">IF($A22="","",SUMIFS(재고!$I:$I,재고!$A:$A,$A22))</f>
        <v/>
      </c>
      <c r="H22" s="34" t="str">
        <f aca="false">IF($A22="","",F22+G22)</f>
        <v/>
      </c>
      <c r="I22" s="34" t="str">
        <f aca="false">IF($A22="","",SUM($F$5:F22))</f>
        <v/>
      </c>
      <c r="J22" s="34" t="str">
        <f aca="false">IF($A22="","",SUM($H$5:H22))</f>
        <v/>
      </c>
      <c r="K22" s="36" t="str">
        <f aca="false">IF($A22="","",IF(H22&lt;-운용규칙!$B$9,"한도초과","OK"))</f>
        <v/>
      </c>
      <c r="L22" s="36" t="str">
        <f aca="false">IF($A22="","",COUNTIFS(매매일지!$B:$B,$A22,매매일지!$R:$R,"위반"))</f>
        <v/>
      </c>
    </row>
    <row r="23" customFormat="false" ht="15" hidden="false" customHeight="false" outlineLevel="0" collapsed="false">
      <c r="A23" s="29"/>
      <c r="B23" s="36" t="str">
        <f aca="false">IF($A23="","",COUNTIFS(매매일지!$B:$B,$A23))</f>
        <v/>
      </c>
      <c r="C23" s="34" t="str">
        <f aca="false">IF($A23="","",SUMIFS(매매일지!$L:$L,매매일지!$B:$B,$A23)-SUMIFS(매매일지!$K:$K,매매일지!$B:$B,$A23))</f>
        <v/>
      </c>
      <c r="D23" s="34" t="str">
        <f aca="false">IF($A23="","",SUMIFS(매매일지!$N:$N,매매일지!$B:$B,$A23))</f>
        <v/>
      </c>
      <c r="E23" s="42"/>
      <c r="F23" s="34" t="str">
        <f aca="false">IF($A23="","",C23-D23-N(E23))</f>
        <v/>
      </c>
      <c r="G23" s="34" t="str">
        <f aca="false">IF($A23="","",SUMIFS(재고!$I:$I,재고!$A:$A,$A23))</f>
        <v/>
      </c>
      <c r="H23" s="34" t="str">
        <f aca="false">IF($A23="","",F23+G23)</f>
        <v/>
      </c>
      <c r="I23" s="34" t="str">
        <f aca="false">IF($A23="","",SUM($F$5:F23))</f>
        <v/>
      </c>
      <c r="J23" s="34" t="str">
        <f aca="false">IF($A23="","",SUM($H$5:H23))</f>
        <v/>
      </c>
      <c r="K23" s="36" t="str">
        <f aca="false">IF($A23="","",IF(H23&lt;-운용규칙!$B$9,"한도초과","OK"))</f>
        <v/>
      </c>
      <c r="L23" s="36" t="str">
        <f aca="false">IF($A23="","",COUNTIFS(매매일지!$B:$B,$A23,매매일지!$R:$R,"위반"))</f>
        <v/>
      </c>
    </row>
    <row r="24" customFormat="false" ht="15" hidden="false" customHeight="false" outlineLevel="0" collapsed="false">
      <c r="A24" s="29"/>
      <c r="B24" s="36" t="str">
        <f aca="false">IF($A24="","",COUNTIFS(매매일지!$B:$B,$A24))</f>
        <v/>
      </c>
      <c r="C24" s="34" t="str">
        <f aca="false">IF($A24="","",SUMIFS(매매일지!$L:$L,매매일지!$B:$B,$A24)-SUMIFS(매매일지!$K:$K,매매일지!$B:$B,$A24))</f>
        <v/>
      </c>
      <c r="D24" s="34" t="str">
        <f aca="false">IF($A24="","",SUMIFS(매매일지!$N:$N,매매일지!$B:$B,$A24))</f>
        <v/>
      </c>
      <c r="E24" s="42"/>
      <c r="F24" s="34" t="str">
        <f aca="false">IF($A24="","",C24-D24-N(E24))</f>
        <v/>
      </c>
      <c r="G24" s="34" t="str">
        <f aca="false">IF($A24="","",SUMIFS(재고!$I:$I,재고!$A:$A,$A24))</f>
        <v/>
      </c>
      <c r="H24" s="34" t="str">
        <f aca="false">IF($A24="","",F24+G24)</f>
        <v/>
      </c>
      <c r="I24" s="34" t="str">
        <f aca="false">IF($A24="","",SUM($F$5:F24))</f>
        <v/>
      </c>
      <c r="J24" s="34" t="str">
        <f aca="false">IF($A24="","",SUM($H$5:H24))</f>
        <v/>
      </c>
      <c r="K24" s="36" t="str">
        <f aca="false">IF($A24="","",IF(H24&lt;-운용규칙!$B$9,"한도초과","OK"))</f>
        <v/>
      </c>
      <c r="L24" s="36" t="str">
        <f aca="false">IF($A24="","",COUNTIFS(매매일지!$B:$B,$A24,매매일지!$R:$R,"위반"))</f>
        <v/>
      </c>
    </row>
    <row r="25" customFormat="false" ht="15" hidden="false" customHeight="false" outlineLevel="0" collapsed="false">
      <c r="A25" s="29"/>
      <c r="B25" s="36" t="str">
        <f aca="false">IF($A25="","",COUNTIFS(매매일지!$B:$B,$A25))</f>
        <v/>
      </c>
      <c r="C25" s="34" t="str">
        <f aca="false">IF($A25="","",SUMIFS(매매일지!$L:$L,매매일지!$B:$B,$A25)-SUMIFS(매매일지!$K:$K,매매일지!$B:$B,$A25))</f>
        <v/>
      </c>
      <c r="D25" s="34" t="str">
        <f aca="false">IF($A25="","",SUMIFS(매매일지!$N:$N,매매일지!$B:$B,$A25))</f>
        <v/>
      </c>
      <c r="E25" s="42"/>
      <c r="F25" s="34" t="str">
        <f aca="false">IF($A25="","",C25-D25-N(E25))</f>
        <v/>
      </c>
      <c r="G25" s="34" t="str">
        <f aca="false">IF($A25="","",SUMIFS(재고!$I:$I,재고!$A:$A,$A25))</f>
        <v/>
      </c>
      <c r="H25" s="34" t="str">
        <f aca="false">IF($A25="","",F25+G25)</f>
        <v/>
      </c>
      <c r="I25" s="34" t="str">
        <f aca="false">IF($A25="","",SUM($F$5:F25))</f>
        <v/>
      </c>
      <c r="J25" s="34" t="str">
        <f aca="false">IF($A25="","",SUM($H$5:H25))</f>
        <v/>
      </c>
      <c r="K25" s="36" t="str">
        <f aca="false">IF($A25="","",IF(H25&lt;-운용규칙!$B$9,"한도초과","OK"))</f>
        <v/>
      </c>
      <c r="L25" s="36" t="str">
        <f aca="false">IF($A25="","",COUNTIFS(매매일지!$B:$B,$A25,매매일지!$R:$R,"위반"))</f>
        <v/>
      </c>
    </row>
    <row r="26" customFormat="false" ht="15" hidden="false" customHeight="false" outlineLevel="0" collapsed="false">
      <c r="A26" s="29"/>
      <c r="B26" s="36" t="str">
        <f aca="false">IF($A26="","",COUNTIFS(매매일지!$B:$B,$A26))</f>
        <v/>
      </c>
      <c r="C26" s="34" t="str">
        <f aca="false">IF($A26="","",SUMIFS(매매일지!$L:$L,매매일지!$B:$B,$A26)-SUMIFS(매매일지!$K:$K,매매일지!$B:$B,$A26))</f>
        <v/>
      </c>
      <c r="D26" s="34" t="str">
        <f aca="false">IF($A26="","",SUMIFS(매매일지!$N:$N,매매일지!$B:$B,$A26))</f>
        <v/>
      </c>
      <c r="E26" s="42"/>
      <c r="F26" s="34" t="str">
        <f aca="false">IF($A26="","",C26-D26-N(E26))</f>
        <v/>
      </c>
      <c r="G26" s="34" t="str">
        <f aca="false">IF($A26="","",SUMIFS(재고!$I:$I,재고!$A:$A,$A26))</f>
        <v/>
      </c>
      <c r="H26" s="34" t="str">
        <f aca="false">IF($A26="","",F26+G26)</f>
        <v/>
      </c>
      <c r="I26" s="34" t="str">
        <f aca="false">IF($A26="","",SUM($F$5:F26))</f>
        <v/>
      </c>
      <c r="J26" s="34" t="str">
        <f aca="false">IF($A26="","",SUM($H$5:H26))</f>
        <v/>
      </c>
      <c r="K26" s="36" t="str">
        <f aca="false">IF($A26="","",IF(H26&lt;-운용규칙!$B$9,"한도초과","OK"))</f>
        <v/>
      </c>
      <c r="L26" s="36" t="str">
        <f aca="false">IF($A26="","",COUNTIFS(매매일지!$B:$B,$A26,매매일지!$R:$R,"위반"))</f>
        <v/>
      </c>
    </row>
    <row r="27" customFormat="false" ht="15" hidden="false" customHeight="false" outlineLevel="0" collapsed="false">
      <c r="A27" s="29"/>
      <c r="B27" s="36" t="str">
        <f aca="false">IF($A27="","",COUNTIFS(매매일지!$B:$B,$A27))</f>
        <v/>
      </c>
      <c r="C27" s="34" t="str">
        <f aca="false">IF($A27="","",SUMIFS(매매일지!$L:$L,매매일지!$B:$B,$A27)-SUMIFS(매매일지!$K:$K,매매일지!$B:$B,$A27))</f>
        <v/>
      </c>
      <c r="D27" s="34" t="str">
        <f aca="false">IF($A27="","",SUMIFS(매매일지!$N:$N,매매일지!$B:$B,$A27))</f>
        <v/>
      </c>
      <c r="E27" s="42"/>
      <c r="F27" s="34" t="str">
        <f aca="false">IF($A27="","",C27-D27-N(E27))</f>
        <v/>
      </c>
      <c r="G27" s="34" t="str">
        <f aca="false">IF($A27="","",SUMIFS(재고!$I:$I,재고!$A:$A,$A27))</f>
        <v/>
      </c>
      <c r="H27" s="34" t="str">
        <f aca="false">IF($A27="","",F27+G27)</f>
        <v/>
      </c>
      <c r="I27" s="34" t="str">
        <f aca="false">IF($A27="","",SUM($F$5:F27))</f>
        <v/>
      </c>
      <c r="J27" s="34" t="str">
        <f aca="false">IF($A27="","",SUM($H$5:H27))</f>
        <v/>
      </c>
      <c r="K27" s="36" t="str">
        <f aca="false">IF($A27="","",IF(H27&lt;-운용규칙!$B$9,"한도초과","OK"))</f>
        <v/>
      </c>
      <c r="L27" s="36" t="str">
        <f aca="false">IF($A27="","",COUNTIFS(매매일지!$B:$B,$A27,매매일지!$R:$R,"위반"))</f>
        <v/>
      </c>
    </row>
    <row r="28" customFormat="false" ht="15" hidden="false" customHeight="false" outlineLevel="0" collapsed="false">
      <c r="A28" s="29"/>
      <c r="B28" s="36" t="str">
        <f aca="false">IF($A28="","",COUNTIFS(매매일지!$B:$B,$A28))</f>
        <v/>
      </c>
      <c r="C28" s="34" t="str">
        <f aca="false">IF($A28="","",SUMIFS(매매일지!$L:$L,매매일지!$B:$B,$A28)-SUMIFS(매매일지!$K:$K,매매일지!$B:$B,$A28))</f>
        <v/>
      </c>
      <c r="D28" s="34" t="str">
        <f aca="false">IF($A28="","",SUMIFS(매매일지!$N:$N,매매일지!$B:$B,$A28))</f>
        <v/>
      </c>
      <c r="E28" s="42"/>
      <c r="F28" s="34" t="str">
        <f aca="false">IF($A28="","",C28-D28-N(E28))</f>
        <v/>
      </c>
      <c r="G28" s="34" t="str">
        <f aca="false">IF($A28="","",SUMIFS(재고!$I:$I,재고!$A:$A,$A28))</f>
        <v/>
      </c>
      <c r="H28" s="34" t="str">
        <f aca="false">IF($A28="","",F28+G28)</f>
        <v/>
      </c>
      <c r="I28" s="34" t="str">
        <f aca="false">IF($A28="","",SUM($F$5:F28))</f>
        <v/>
      </c>
      <c r="J28" s="34" t="str">
        <f aca="false">IF($A28="","",SUM($H$5:H28))</f>
        <v/>
      </c>
      <c r="K28" s="36" t="str">
        <f aca="false">IF($A28="","",IF(H28&lt;-운용규칙!$B$9,"한도초과","OK"))</f>
        <v/>
      </c>
      <c r="L28" s="36" t="str">
        <f aca="false">IF($A28="","",COUNTIFS(매매일지!$B:$B,$A28,매매일지!$R:$R,"위반"))</f>
        <v/>
      </c>
    </row>
    <row r="29" customFormat="false" ht="15" hidden="false" customHeight="false" outlineLevel="0" collapsed="false">
      <c r="A29" s="29"/>
      <c r="B29" s="36" t="str">
        <f aca="false">IF($A29="","",COUNTIFS(매매일지!$B:$B,$A29))</f>
        <v/>
      </c>
      <c r="C29" s="34" t="str">
        <f aca="false">IF($A29="","",SUMIFS(매매일지!$L:$L,매매일지!$B:$B,$A29)-SUMIFS(매매일지!$K:$K,매매일지!$B:$B,$A29))</f>
        <v/>
      </c>
      <c r="D29" s="34" t="str">
        <f aca="false">IF($A29="","",SUMIFS(매매일지!$N:$N,매매일지!$B:$B,$A29))</f>
        <v/>
      </c>
      <c r="E29" s="42"/>
      <c r="F29" s="34" t="str">
        <f aca="false">IF($A29="","",C29-D29-N(E29))</f>
        <v/>
      </c>
      <c r="G29" s="34" t="str">
        <f aca="false">IF($A29="","",SUMIFS(재고!$I:$I,재고!$A:$A,$A29))</f>
        <v/>
      </c>
      <c r="H29" s="34" t="str">
        <f aca="false">IF($A29="","",F29+G29)</f>
        <v/>
      </c>
      <c r="I29" s="34" t="str">
        <f aca="false">IF($A29="","",SUM($F$5:F29))</f>
        <v/>
      </c>
      <c r="J29" s="34" t="str">
        <f aca="false">IF($A29="","",SUM($H$5:H29))</f>
        <v/>
      </c>
      <c r="K29" s="36" t="str">
        <f aca="false">IF($A29="","",IF(H29&lt;-운용규칙!$B$9,"한도초과","OK"))</f>
        <v/>
      </c>
      <c r="L29" s="36" t="str">
        <f aca="false">IF($A29="","",COUNTIFS(매매일지!$B:$B,$A29,매매일지!$R:$R,"위반"))</f>
        <v/>
      </c>
    </row>
    <row r="30" customFormat="false" ht="15" hidden="false" customHeight="false" outlineLevel="0" collapsed="false">
      <c r="A30" s="29"/>
      <c r="B30" s="36" t="str">
        <f aca="false">IF($A30="","",COUNTIFS(매매일지!$B:$B,$A30))</f>
        <v/>
      </c>
      <c r="C30" s="34" t="str">
        <f aca="false">IF($A30="","",SUMIFS(매매일지!$L:$L,매매일지!$B:$B,$A30)-SUMIFS(매매일지!$K:$K,매매일지!$B:$B,$A30))</f>
        <v/>
      </c>
      <c r="D30" s="34" t="str">
        <f aca="false">IF($A30="","",SUMIFS(매매일지!$N:$N,매매일지!$B:$B,$A30))</f>
        <v/>
      </c>
      <c r="E30" s="42"/>
      <c r="F30" s="34" t="str">
        <f aca="false">IF($A30="","",C30-D30-N(E30))</f>
        <v/>
      </c>
      <c r="G30" s="34" t="str">
        <f aca="false">IF($A30="","",SUMIFS(재고!$I:$I,재고!$A:$A,$A30))</f>
        <v/>
      </c>
      <c r="H30" s="34" t="str">
        <f aca="false">IF($A30="","",F30+G30)</f>
        <v/>
      </c>
      <c r="I30" s="34" t="str">
        <f aca="false">IF($A30="","",SUM($F$5:F30))</f>
        <v/>
      </c>
      <c r="J30" s="34" t="str">
        <f aca="false">IF($A30="","",SUM($H$5:H30))</f>
        <v/>
      </c>
      <c r="K30" s="36" t="str">
        <f aca="false">IF($A30="","",IF(H30&lt;-운용규칙!$B$9,"한도초과","OK"))</f>
        <v/>
      </c>
      <c r="L30" s="36" t="str">
        <f aca="false">IF($A30="","",COUNTIFS(매매일지!$B:$B,$A30,매매일지!$R:$R,"위반"))</f>
        <v/>
      </c>
    </row>
    <row r="31" customFormat="false" ht="15" hidden="false" customHeight="false" outlineLevel="0" collapsed="false">
      <c r="A31" s="29"/>
      <c r="B31" s="36" t="str">
        <f aca="false">IF($A31="","",COUNTIFS(매매일지!$B:$B,$A31))</f>
        <v/>
      </c>
      <c r="C31" s="34" t="str">
        <f aca="false">IF($A31="","",SUMIFS(매매일지!$L:$L,매매일지!$B:$B,$A31)-SUMIFS(매매일지!$K:$K,매매일지!$B:$B,$A31))</f>
        <v/>
      </c>
      <c r="D31" s="34" t="str">
        <f aca="false">IF($A31="","",SUMIFS(매매일지!$N:$N,매매일지!$B:$B,$A31))</f>
        <v/>
      </c>
      <c r="E31" s="42"/>
      <c r="F31" s="34" t="str">
        <f aca="false">IF($A31="","",C31-D31-N(E31))</f>
        <v/>
      </c>
      <c r="G31" s="34" t="str">
        <f aca="false">IF($A31="","",SUMIFS(재고!$I:$I,재고!$A:$A,$A31))</f>
        <v/>
      </c>
      <c r="H31" s="34" t="str">
        <f aca="false">IF($A31="","",F31+G31)</f>
        <v/>
      </c>
      <c r="I31" s="34" t="str">
        <f aca="false">IF($A31="","",SUM($F$5:F31))</f>
        <v/>
      </c>
      <c r="J31" s="34" t="str">
        <f aca="false">IF($A31="","",SUM($H$5:H31))</f>
        <v/>
      </c>
      <c r="K31" s="36" t="str">
        <f aca="false">IF($A31="","",IF(H31&lt;-운용규칙!$B$9,"한도초과","OK"))</f>
        <v/>
      </c>
      <c r="L31" s="36" t="str">
        <f aca="false">IF($A31="","",COUNTIFS(매매일지!$B:$B,$A31,매매일지!$R:$R,"위반"))</f>
        <v/>
      </c>
    </row>
    <row r="32" customFormat="false" ht="15" hidden="false" customHeight="false" outlineLevel="0" collapsed="false">
      <c r="A32" s="29"/>
      <c r="B32" s="36" t="str">
        <f aca="false">IF($A32="","",COUNTIFS(매매일지!$B:$B,$A32))</f>
        <v/>
      </c>
      <c r="C32" s="34" t="str">
        <f aca="false">IF($A32="","",SUMIFS(매매일지!$L:$L,매매일지!$B:$B,$A32)-SUMIFS(매매일지!$K:$K,매매일지!$B:$B,$A32))</f>
        <v/>
      </c>
      <c r="D32" s="34" t="str">
        <f aca="false">IF($A32="","",SUMIFS(매매일지!$N:$N,매매일지!$B:$B,$A32))</f>
        <v/>
      </c>
      <c r="E32" s="42"/>
      <c r="F32" s="34" t="str">
        <f aca="false">IF($A32="","",C32-D32-N(E32))</f>
        <v/>
      </c>
      <c r="G32" s="34" t="str">
        <f aca="false">IF($A32="","",SUMIFS(재고!$I:$I,재고!$A:$A,$A32))</f>
        <v/>
      </c>
      <c r="H32" s="34" t="str">
        <f aca="false">IF($A32="","",F32+G32)</f>
        <v/>
      </c>
      <c r="I32" s="34" t="str">
        <f aca="false">IF($A32="","",SUM($F$5:F32))</f>
        <v/>
      </c>
      <c r="J32" s="34" t="str">
        <f aca="false">IF($A32="","",SUM($H$5:H32))</f>
        <v/>
      </c>
      <c r="K32" s="36" t="str">
        <f aca="false">IF($A32="","",IF(H32&lt;-운용규칙!$B$9,"한도초과","OK"))</f>
        <v/>
      </c>
      <c r="L32" s="36" t="str">
        <f aca="false">IF($A32="","",COUNTIFS(매매일지!$B:$B,$A32,매매일지!$R:$R,"위반"))</f>
        <v/>
      </c>
    </row>
    <row r="33" customFormat="false" ht="15" hidden="false" customHeight="false" outlineLevel="0" collapsed="false">
      <c r="A33" s="29"/>
      <c r="B33" s="36" t="str">
        <f aca="false">IF($A33="","",COUNTIFS(매매일지!$B:$B,$A33))</f>
        <v/>
      </c>
      <c r="C33" s="34" t="str">
        <f aca="false">IF($A33="","",SUMIFS(매매일지!$L:$L,매매일지!$B:$B,$A33)-SUMIFS(매매일지!$K:$K,매매일지!$B:$B,$A33))</f>
        <v/>
      </c>
      <c r="D33" s="34" t="str">
        <f aca="false">IF($A33="","",SUMIFS(매매일지!$N:$N,매매일지!$B:$B,$A33))</f>
        <v/>
      </c>
      <c r="E33" s="42"/>
      <c r="F33" s="34" t="str">
        <f aca="false">IF($A33="","",C33-D33-N(E33))</f>
        <v/>
      </c>
      <c r="G33" s="34" t="str">
        <f aca="false">IF($A33="","",SUMIFS(재고!$I:$I,재고!$A:$A,$A33))</f>
        <v/>
      </c>
      <c r="H33" s="34" t="str">
        <f aca="false">IF($A33="","",F33+G33)</f>
        <v/>
      </c>
      <c r="I33" s="34" t="str">
        <f aca="false">IF($A33="","",SUM($F$5:F33))</f>
        <v/>
      </c>
      <c r="J33" s="34" t="str">
        <f aca="false">IF($A33="","",SUM($H$5:H33))</f>
        <v/>
      </c>
      <c r="K33" s="36" t="str">
        <f aca="false">IF($A33="","",IF(H33&lt;-운용규칙!$B$9,"한도초과","OK"))</f>
        <v/>
      </c>
      <c r="L33" s="36" t="str">
        <f aca="false">IF($A33="","",COUNTIFS(매매일지!$B:$B,$A33,매매일지!$R:$R,"위반"))</f>
        <v/>
      </c>
    </row>
    <row r="34" customFormat="false" ht="15" hidden="false" customHeight="false" outlineLevel="0" collapsed="false">
      <c r="A34" s="29"/>
      <c r="B34" s="36" t="str">
        <f aca="false">IF($A34="","",COUNTIFS(매매일지!$B:$B,$A34))</f>
        <v/>
      </c>
      <c r="C34" s="34" t="str">
        <f aca="false">IF($A34="","",SUMIFS(매매일지!$L:$L,매매일지!$B:$B,$A34)-SUMIFS(매매일지!$K:$K,매매일지!$B:$B,$A34))</f>
        <v/>
      </c>
      <c r="D34" s="34" t="str">
        <f aca="false">IF($A34="","",SUMIFS(매매일지!$N:$N,매매일지!$B:$B,$A34))</f>
        <v/>
      </c>
      <c r="E34" s="42"/>
      <c r="F34" s="34" t="str">
        <f aca="false">IF($A34="","",C34-D34-N(E34))</f>
        <v/>
      </c>
      <c r="G34" s="34" t="str">
        <f aca="false">IF($A34="","",SUMIFS(재고!$I:$I,재고!$A:$A,$A34))</f>
        <v/>
      </c>
      <c r="H34" s="34" t="str">
        <f aca="false">IF($A34="","",F34+G34)</f>
        <v/>
      </c>
      <c r="I34" s="34" t="str">
        <f aca="false">IF($A34="","",SUM($F$5:F34))</f>
        <v/>
      </c>
      <c r="J34" s="34" t="str">
        <f aca="false">IF($A34="","",SUM($H$5:H34))</f>
        <v/>
      </c>
      <c r="K34" s="36" t="str">
        <f aca="false">IF($A34="","",IF(H34&lt;-운용규칙!$B$9,"한도초과","OK"))</f>
        <v/>
      </c>
      <c r="L34" s="36" t="str">
        <f aca="false">IF($A34="","",COUNTIFS(매매일지!$B:$B,$A34,매매일지!$R:$R,"위반"))</f>
        <v/>
      </c>
    </row>
    <row r="35" customFormat="false" ht="15" hidden="false" customHeight="false" outlineLevel="0" collapsed="false">
      <c r="A35" s="29"/>
      <c r="B35" s="36" t="str">
        <f aca="false">IF($A35="","",COUNTIFS(매매일지!$B:$B,$A35))</f>
        <v/>
      </c>
      <c r="C35" s="34" t="str">
        <f aca="false">IF($A35="","",SUMIFS(매매일지!$L:$L,매매일지!$B:$B,$A35)-SUMIFS(매매일지!$K:$K,매매일지!$B:$B,$A35))</f>
        <v/>
      </c>
      <c r="D35" s="34" t="str">
        <f aca="false">IF($A35="","",SUMIFS(매매일지!$N:$N,매매일지!$B:$B,$A35))</f>
        <v/>
      </c>
      <c r="E35" s="42"/>
      <c r="F35" s="34" t="str">
        <f aca="false">IF($A35="","",C35-D35-N(E35))</f>
        <v/>
      </c>
      <c r="G35" s="34" t="str">
        <f aca="false">IF($A35="","",SUMIFS(재고!$I:$I,재고!$A:$A,$A35))</f>
        <v/>
      </c>
      <c r="H35" s="34" t="str">
        <f aca="false">IF($A35="","",F35+G35)</f>
        <v/>
      </c>
      <c r="I35" s="34" t="str">
        <f aca="false">IF($A35="","",SUM($F$5:F35))</f>
        <v/>
      </c>
      <c r="J35" s="34" t="str">
        <f aca="false">IF($A35="","",SUM($H$5:H35))</f>
        <v/>
      </c>
      <c r="K35" s="36" t="str">
        <f aca="false">IF($A35="","",IF(H35&lt;-운용규칙!$B$9,"한도초과","OK"))</f>
        <v/>
      </c>
      <c r="L35" s="36" t="str">
        <f aca="false">IF($A35="","",COUNTIFS(매매일지!$B:$B,$A35,매매일지!$R:$R,"위반"))</f>
        <v/>
      </c>
    </row>
    <row r="36" customFormat="false" ht="15" hidden="false" customHeight="false" outlineLevel="0" collapsed="false">
      <c r="A36" s="29"/>
      <c r="B36" s="36" t="str">
        <f aca="false">IF($A36="","",COUNTIFS(매매일지!$B:$B,$A36))</f>
        <v/>
      </c>
      <c r="C36" s="34" t="str">
        <f aca="false">IF($A36="","",SUMIFS(매매일지!$L:$L,매매일지!$B:$B,$A36)-SUMIFS(매매일지!$K:$K,매매일지!$B:$B,$A36))</f>
        <v/>
      </c>
      <c r="D36" s="34" t="str">
        <f aca="false">IF($A36="","",SUMIFS(매매일지!$N:$N,매매일지!$B:$B,$A36))</f>
        <v/>
      </c>
      <c r="E36" s="42"/>
      <c r="F36" s="34" t="str">
        <f aca="false">IF($A36="","",C36-D36-N(E36))</f>
        <v/>
      </c>
      <c r="G36" s="34" t="str">
        <f aca="false">IF($A36="","",SUMIFS(재고!$I:$I,재고!$A:$A,$A36))</f>
        <v/>
      </c>
      <c r="H36" s="34" t="str">
        <f aca="false">IF($A36="","",F36+G36)</f>
        <v/>
      </c>
      <c r="I36" s="34" t="str">
        <f aca="false">IF($A36="","",SUM($F$5:F36))</f>
        <v/>
      </c>
      <c r="J36" s="34" t="str">
        <f aca="false">IF($A36="","",SUM($H$5:H36))</f>
        <v/>
      </c>
      <c r="K36" s="36" t="str">
        <f aca="false">IF($A36="","",IF(H36&lt;-운용규칙!$B$9,"한도초과","OK"))</f>
        <v/>
      </c>
      <c r="L36" s="36" t="str">
        <f aca="false">IF($A36="","",COUNTIFS(매매일지!$B:$B,$A36,매매일지!$R:$R,"위반"))</f>
        <v/>
      </c>
    </row>
    <row r="37" customFormat="false" ht="15" hidden="false" customHeight="false" outlineLevel="0" collapsed="false">
      <c r="A37" s="29"/>
      <c r="B37" s="36" t="str">
        <f aca="false">IF($A37="","",COUNTIFS(매매일지!$B:$B,$A37))</f>
        <v/>
      </c>
      <c r="C37" s="34" t="str">
        <f aca="false">IF($A37="","",SUMIFS(매매일지!$L:$L,매매일지!$B:$B,$A37)-SUMIFS(매매일지!$K:$K,매매일지!$B:$B,$A37))</f>
        <v/>
      </c>
      <c r="D37" s="34" t="str">
        <f aca="false">IF($A37="","",SUMIFS(매매일지!$N:$N,매매일지!$B:$B,$A37))</f>
        <v/>
      </c>
      <c r="E37" s="42"/>
      <c r="F37" s="34" t="str">
        <f aca="false">IF($A37="","",C37-D37-N(E37))</f>
        <v/>
      </c>
      <c r="G37" s="34" t="str">
        <f aca="false">IF($A37="","",SUMIFS(재고!$I:$I,재고!$A:$A,$A37))</f>
        <v/>
      </c>
      <c r="H37" s="34" t="str">
        <f aca="false">IF($A37="","",F37+G37)</f>
        <v/>
      </c>
      <c r="I37" s="34" t="str">
        <f aca="false">IF($A37="","",SUM($F$5:F37))</f>
        <v/>
      </c>
      <c r="J37" s="34" t="str">
        <f aca="false">IF($A37="","",SUM($H$5:H37))</f>
        <v/>
      </c>
      <c r="K37" s="36" t="str">
        <f aca="false">IF($A37="","",IF(H37&lt;-운용규칙!$B$9,"한도초과","OK"))</f>
        <v/>
      </c>
      <c r="L37" s="36" t="str">
        <f aca="false">IF($A37="","",COUNTIFS(매매일지!$B:$B,$A37,매매일지!$R:$R,"위반"))</f>
        <v/>
      </c>
    </row>
    <row r="38" customFormat="false" ht="15" hidden="false" customHeight="false" outlineLevel="0" collapsed="false">
      <c r="A38" s="29"/>
      <c r="B38" s="36" t="str">
        <f aca="false">IF($A38="","",COUNTIFS(매매일지!$B:$B,$A38))</f>
        <v/>
      </c>
      <c r="C38" s="34" t="str">
        <f aca="false">IF($A38="","",SUMIFS(매매일지!$L:$L,매매일지!$B:$B,$A38)-SUMIFS(매매일지!$K:$K,매매일지!$B:$B,$A38))</f>
        <v/>
      </c>
      <c r="D38" s="34" t="str">
        <f aca="false">IF($A38="","",SUMIFS(매매일지!$N:$N,매매일지!$B:$B,$A38))</f>
        <v/>
      </c>
      <c r="E38" s="42"/>
      <c r="F38" s="34" t="str">
        <f aca="false">IF($A38="","",C38-D38-N(E38))</f>
        <v/>
      </c>
      <c r="G38" s="34" t="str">
        <f aca="false">IF($A38="","",SUMIFS(재고!$I:$I,재고!$A:$A,$A38))</f>
        <v/>
      </c>
      <c r="H38" s="34" t="str">
        <f aca="false">IF($A38="","",F38+G38)</f>
        <v/>
      </c>
      <c r="I38" s="34" t="str">
        <f aca="false">IF($A38="","",SUM($F$5:F38))</f>
        <v/>
      </c>
      <c r="J38" s="34" t="str">
        <f aca="false">IF($A38="","",SUM($H$5:H38))</f>
        <v/>
      </c>
      <c r="K38" s="36" t="str">
        <f aca="false">IF($A38="","",IF(H38&lt;-운용규칙!$B$9,"한도초과","OK"))</f>
        <v/>
      </c>
      <c r="L38" s="36" t="str">
        <f aca="false">IF($A38="","",COUNTIFS(매매일지!$B:$B,$A38,매매일지!$R:$R,"위반"))</f>
        <v/>
      </c>
    </row>
    <row r="39" customFormat="false" ht="15" hidden="false" customHeight="false" outlineLevel="0" collapsed="false">
      <c r="A39" s="29"/>
      <c r="B39" s="36" t="str">
        <f aca="false">IF($A39="","",COUNTIFS(매매일지!$B:$B,$A39))</f>
        <v/>
      </c>
      <c r="C39" s="34" t="str">
        <f aca="false">IF($A39="","",SUMIFS(매매일지!$L:$L,매매일지!$B:$B,$A39)-SUMIFS(매매일지!$K:$K,매매일지!$B:$B,$A39))</f>
        <v/>
      </c>
      <c r="D39" s="34" t="str">
        <f aca="false">IF($A39="","",SUMIFS(매매일지!$N:$N,매매일지!$B:$B,$A39))</f>
        <v/>
      </c>
      <c r="E39" s="42"/>
      <c r="F39" s="34" t="str">
        <f aca="false">IF($A39="","",C39-D39-N(E39))</f>
        <v/>
      </c>
      <c r="G39" s="34" t="str">
        <f aca="false">IF($A39="","",SUMIFS(재고!$I:$I,재고!$A:$A,$A39))</f>
        <v/>
      </c>
      <c r="H39" s="34" t="str">
        <f aca="false">IF($A39="","",F39+G39)</f>
        <v/>
      </c>
      <c r="I39" s="34" t="str">
        <f aca="false">IF($A39="","",SUM($F$5:F39))</f>
        <v/>
      </c>
      <c r="J39" s="34" t="str">
        <f aca="false">IF($A39="","",SUM($H$5:H39))</f>
        <v/>
      </c>
      <c r="K39" s="36" t="str">
        <f aca="false">IF($A39="","",IF(H39&lt;-운용규칙!$B$9,"한도초과","OK"))</f>
        <v/>
      </c>
      <c r="L39" s="36" t="str">
        <f aca="false">IF($A39="","",COUNTIFS(매매일지!$B:$B,$A39,매매일지!$R:$R,"위반"))</f>
        <v/>
      </c>
    </row>
    <row r="40" customFormat="false" ht="15" hidden="false" customHeight="false" outlineLevel="0" collapsed="false">
      <c r="A40" s="29"/>
      <c r="B40" s="36" t="str">
        <f aca="false">IF($A40="","",COUNTIFS(매매일지!$B:$B,$A40))</f>
        <v/>
      </c>
      <c r="C40" s="34" t="str">
        <f aca="false">IF($A40="","",SUMIFS(매매일지!$L:$L,매매일지!$B:$B,$A40)-SUMIFS(매매일지!$K:$K,매매일지!$B:$B,$A40))</f>
        <v/>
      </c>
      <c r="D40" s="34" t="str">
        <f aca="false">IF($A40="","",SUMIFS(매매일지!$N:$N,매매일지!$B:$B,$A40))</f>
        <v/>
      </c>
      <c r="E40" s="42"/>
      <c r="F40" s="34" t="str">
        <f aca="false">IF($A40="","",C40-D40-N(E40))</f>
        <v/>
      </c>
      <c r="G40" s="34" t="str">
        <f aca="false">IF($A40="","",SUMIFS(재고!$I:$I,재고!$A:$A,$A40))</f>
        <v/>
      </c>
      <c r="H40" s="34" t="str">
        <f aca="false">IF($A40="","",F40+G40)</f>
        <v/>
      </c>
      <c r="I40" s="34" t="str">
        <f aca="false">IF($A40="","",SUM($F$5:F40))</f>
        <v/>
      </c>
      <c r="J40" s="34" t="str">
        <f aca="false">IF($A40="","",SUM($H$5:H40))</f>
        <v/>
      </c>
      <c r="K40" s="36" t="str">
        <f aca="false">IF($A40="","",IF(H40&lt;-운용규칙!$B$9,"한도초과","OK"))</f>
        <v/>
      </c>
      <c r="L40" s="36" t="str">
        <f aca="false">IF($A40="","",COUNTIFS(매매일지!$B:$B,$A40,매매일지!$R:$R,"위반"))</f>
        <v/>
      </c>
    </row>
    <row r="41" customFormat="false" ht="15" hidden="false" customHeight="false" outlineLevel="0" collapsed="false">
      <c r="A41" s="29"/>
      <c r="B41" s="36" t="str">
        <f aca="false">IF($A41="","",COUNTIFS(매매일지!$B:$B,$A41))</f>
        <v/>
      </c>
      <c r="C41" s="34" t="str">
        <f aca="false">IF($A41="","",SUMIFS(매매일지!$L:$L,매매일지!$B:$B,$A41)-SUMIFS(매매일지!$K:$K,매매일지!$B:$B,$A41))</f>
        <v/>
      </c>
      <c r="D41" s="34" t="str">
        <f aca="false">IF($A41="","",SUMIFS(매매일지!$N:$N,매매일지!$B:$B,$A41))</f>
        <v/>
      </c>
      <c r="E41" s="42"/>
      <c r="F41" s="34" t="str">
        <f aca="false">IF($A41="","",C41-D41-N(E41))</f>
        <v/>
      </c>
      <c r="G41" s="34" t="str">
        <f aca="false">IF($A41="","",SUMIFS(재고!$I:$I,재고!$A:$A,$A41))</f>
        <v/>
      </c>
      <c r="H41" s="34" t="str">
        <f aca="false">IF($A41="","",F41+G41)</f>
        <v/>
      </c>
      <c r="I41" s="34" t="str">
        <f aca="false">IF($A41="","",SUM($F$5:F41))</f>
        <v/>
      </c>
      <c r="J41" s="34" t="str">
        <f aca="false">IF($A41="","",SUM($H$5:H41))</f>
        <v/>
      </c>
      <c r="K41" s="36" t="str">
        <f aca="false">IF($A41="","",IF(H41&lt;-운용규칙!$B$9,"한도초과","OK"))</f>
        <v/>
      </c>
      <c r="L41" s="36" t="str">
        <f aca="false">IF($A41="","",COUNTIFS(매매일지!$B:$B,$A41,매매일지!$R:$R,"위반"))</f>
        <v/>
      </c>
    </row>
    <row r="42" customFormat="false" ht="15" hidden="false" customHeight="false" outlineLevel="0" collapsed="false">
      <c r="A42" s="29"/>
      <c r="B42" s="36" t="str">
        <f aca="false">IF($A42="","",COUNTIFS(매매일지!$B:$B,$A42))</f>
        <v/>
      </c>
      <c r="C42" s="34" t="str">
        <f aca="false">IF($A42="","",SUMIFS(매매일지!$L:$L,매매일지!$B:$B,$A42)-SUMIFS(매매일지!$K:$K,매매일지!$B:$B,$A42))</f>
        <v/>
      </c>
      <c r="D42" s="34" t="str">
        <f aca="false">IF($A42="","",SUMIFS(매매일지!$N:$N,매매일지!$B:$B,$A42))</f>
        <v/>
      </c>
      <c r="E42" s="42"/>
      <c r="F42" s="34" t="str">
        <f aca="false">IF($A42="","",C42-D42-N(E42))</f>
        <v/>
      </c>
      <c r="G42" s="34" t="str">
        <f aca="false">IF($A42="","",SUMIFS(재고!$I:$I,재고!$A:$A,$A42))</f>
        <v/>
      </c>
      <c r="H42" s="34" t="str">
        <f aca="false">IF($A42="","",F42+G42)</f>
        <v/>
      </c>
      <c r="I42" s="34" t="str">
        <f aca="false">IF($A42="","",SUM($F$5:F42))</f>
        <v/>
      </c>
      <c r="J42" s="34" t="str">
        <f aca="false">IF($A42="","",SUM($H$5:H42))</f>
        <v/>
      </c>
      <c r="K42" s="36" t="str">
        <f aca="false">IF($A42="","",IF(H42&lt;-운용규칙!$B$9,"한도초과","OK"))</f>
        <v/>
      </c>
      <c r="L42" s="36" t="str">
        <f aca="false">IF($A42="","",COUNTIFS(매매일지!$B:$B,$A42,매매일지!$R:$R,"위반"))</f>
        <v/>
      </c>
    </row>
    <row r="43" customFormat="false" ht="15" hidden="false" customHeight="false" outlineLevel="0" collapsed="false">
      <c r="A43" s="29"/>
      <c r="B43" s="36" t="str">
        <f aca="false">IF($A43="","",COUNTIFS(매매일지!$B:$B,$A43))</f>
        <v/>
      </c>
      <c r="C43" s="34" t="str">
        <f aca="false">IF($A43="","",SUMIFS(매매일지!$L:$L,매매일지!$B:$B,$A43)-SUMIFS(매매일지!$K:$K,매매일지!$B:$B,$A43))</f>
        <v/>
      </c>
      <c r="D43" s="34" t="str">
        <f aca="false">IF($A43="","",SUMIFS(매매일지!$N:$N,매매일지!$B:$B,$A43))</f>
        <v/>
      </c>
      <c r="E43" s="42"/>
      <c r="F43" s="34" t="str">
        <f aca="false">IF($A43="","",C43-D43-N(E43))</f>
        <v/>
      </c>
      <c r="G43" s="34" t="str">
        <f aca="false">IF($A43="","",SUMIFS(재고!$I:$I,재고!$A:$A,$A43))</f>
        <v/>
      </c>
      <c r="H43" s="34" t="str">
        <f aca="false">IF($A43="","",F43+G43)</f>
        <v/>
      </c>
      <c r="I43" s="34" t="str">
        <f aca="false">IF($A43="","",SUM($F$5:F43))</f>
        <v/>
      </c>
      <c r="J43" s="34" t="str">
        <f aca="false">IF($A43="","",SUM($H$5:H43))</f>
        <v/>
      </c>
      <c r="K43" s="36" t="str">
        <f aca="false">IF($A43="","",IF(H43&lt;-운용규칙!$B$9,"한도초과","OK"))</f>
        <v/>
      </c>
      <c r="L43" s="36" t="str">
        <f aca="false">IF($A43="","",COUNTIFS(매매일지!$B:$B,$A43,매매일지!$R:$R,"위반"))</f>
        <v/>
      </c>
    </row>
    <row r="44" customFormat="false" ht="15" hidden="false" customHeight="false" outlineLevel="0" collapsed="false">
      <c r="A44" s="29"/>
      <c r="B44" s="36" t="str">
        <f aca="false">IF($A44="","",COUNTIFS(매매일지!$B:$B,$A44))</f>
        <v/>
      </c>
      <c r="C44" s="34" t="str">
        <f aca="false">IF($A44="","",SUMIFS(매매일지!$L:$L,매매일지!$B:$B,$A44)-SUMIFS(매매일지!$K:$K,매매일지!$B:$B,$A44))</f>
        <v/>
      </c>
      <c r="D44" s="34" t="str">
        <f aca="false">IF($A44="","",SUMIFS(매매일지!$N:$N,매매일지!$B:$B,$A44))</f>
        <v/>
      </c>
      <c r="E44" s="42"/>
      <c r="F44" s="34" t="str">
        <f aca="false">IF($A44="","",C44-D44-N(E44))</f>
        <v/>
      </c>
      <c r="G44" s="34" t="str">
        <f aca="false">IF($A44="","",SUMIFS(재고!$I:$I,재고!$A:$A,$A44))</f>
        <v/>
      </c>
      <c r="H44" s="34" t="str">
        <f aca="false">IF($A44="","",F44+G44)</f>
        <v/>
      </c>
      <c r="I44" s="34" t="str">
        <f aca="false">IF($A44="","",SUM($F$5:F44))</f>
        <v/>
      </c>
      <c r="J44" s="34" t="str">
        <f aca="false">IF($A44="","",SUM($H$5:H44))</f>
        <v/>
      </c>
      <c r="K44" s="36" t="str">
        <f aca="false">IF($A44="","",IF(H44&lt;-운용규칙!$B$9,"한도초과","OK"))</f>
        <v/>
      </c>
      <c r="L44" s="36" t="str">
        <f aca="false">IF($A44="","",COUNTIFS(매매일지!$B:$B,$A44,매매일지!$R:$R,"위반"))</f>
        <v/>
      </c>
    </row>
    <row r="45" customFormat="false" ht="15" hidden="false" customHeight="false" outlineLevel="0" collapsed="false">
      <c r="A45" s="29"/>
      <c r="B45" s="36" t="str">
        <f aca="false">IF($A45="","",COUNTIFS(매매일지!$B:$B,$A45))</f>
        <v/>
      </c>
      <c r="C45" s="34" t="str">
        <f aca="false">IF($A45="","",SUMIFS(매매일지!$L:$L,매매일지!$B:$B,$A45)-SUMIFS(매매일지!$K:$K,매매일지!$B:$B,$A45))</f>
        <v/>
      </c>
      <c r="D45" s="34" t="str">
        <f aca="false">IF($A45="","",SUMIFS(매매일지!$N:$N,매매일지!$B:$B,$A45))</f>
        <v/>
      </c>
      <c r="E45" s="42"/>
      <c r="F45" s="34" t="str">
        <f aca="false">IF($A45="","",C45-D45-N(E45))</f>
        <v/>
      </c>
      <c r="G45" s="34" t="str">
        <f aca="false">IF($A45="","",SUMIFS(재고!$I:$I,재고!$A:$A,$A45))</f>
        <v/>
      </c>
      <c r="H45" s="34" t="str">
        <f aca="false">IF($A45="","",F45+G45)</f>
        <v/>
      </c>
      <c r="I45" s="34" t="str">
        <f aca="false">IF($A45="","",SUM($F$5:F45))</f>
        <v/>
      </c>
      <c r="J45" s="34" t="str">
        <f aca="false">IF($A45="","",SUM($H$5:H45))</f>
        <v/>
      </c>
      <c r="K45" s="36" t="str">
        <f aca="false">IF($A45="","",IF(H45&lt;-운용규칙!$B$9,"한도초과","OK"))</f>
        <v/>
      </c>
      <c r="L45" s="36" t="str">
        <f aca="false">IF($A45="","",COUNTIFS(매매일지!$B:$B,$A45,매매일지!$R:$R,"위반"))</f>
        <v/>
      </c>
    </row>
    <row r="46" customFormat="false" ht="15" hidden="false" customHeight="false" outlineLevel="0" collapsed="false">
      <c r="A46" s="29"/>
      <c r="B46" s="36" t="str">
        <f aca="false">IF($A46="","",COUNTIFS(매매일지!$B:$B,$A46))</f>
        <v/>
      </c>
      <c r="C46" s="34" t="str">
        <f aca="false">IF($A46="","",SUMIFS(매매일지!$L:$L,매매일지!$B:$B,$A46)-SUMIFS(매매일지!$K:$K,매매일지!$B:$B,$A46))</f>
        <v/>
      </c>
      <c r="D46" s="34" t="str">
        <f aca="false">IF($A46="","",SUMIFS(매매일지!$N:$N,매매일지!$B:$B,$A46))</f>
        <v/>
      </c>
      <c r="E46" s="42"/>
      <c r="F46" s="34" t="str">
        <f aca="false">IF($A46="","",C46-D46-N(E46))</f>
        <v/>
      </c>
      <c r="G46" s="34" t="str">
        <f aca="false">IF($A46="","",SUMIFS(재고!$I:$I,재고!$A:$A,$A46))</f>
        <v/>
      </c>
      <c r="H46" s="34" t="str">
        <f aca="false">IF($A46="","",F46+G46)</f>
        <v/>
      </c>
      <c r="I46" s="34" t="str">
        <f aca="false">IF($A46="","",SUM($F$5:F46))</f>
        <v/>
      </c>
      <c r="J46" s="34" t="str">
        <f aca="false">IF($A46="","",SUM($H$5:H46))</f>
        <v/>
      </c>
      <c r="K46" s="36" t="str">
        <f aca="false">IF($A46="","",IF(H46&lt;-운용규칙!$B$9,"한도초과","OK"))</f>
        <v/>
      </c>
      <c r="L46" s="36" t="str">
        <f aca="false">IF($A46="","",COUNTIFS(매매일지!$B:$B,$A46,매매일지!$R:$R,"위반"))</f>
        <v/>
      </c>
    </row>
    <row r="47" customFormat="false" ht="15" hidden="false" customHeight="false" outlineLevel="0" collapsed="false">
      <c r="A47" s="29"/>
      <c r="B47" s="36" t="str">
        <f aca="false">IF($A47="","",COUNTIFS(매매일지!$B:$B,$A47))</f>
        <v/>
      </c>
      <c r="C47" s="34" t="str">
        <f aca="false">IF($A47="","",SUMIFS(매매일지!$L:$L,매매일지!$B:$B,$A47)-SUMIFS(매매일지!$K:$K,매매일지!$B:$B,$A47))</f>
        <v/>
      </c>
      <c r="D47" s="34" t="str">
        <f aca="false">IF($A47="","",SUMIFS(매매일지!$N:$N,매매일지!$B:$B,$A47))</f>
        <v/>
      </c>
      <c r="E47" s="42"/>
      <c r="F47" s="34" t="str">
        <f aca="false">IF($A47="","",C47-D47-N(E47))</f>
        <v/>
      </c>
      <c r="G47" s="34" t="str">
        <f aca="false">IF($A47="","",SUMIFS(재고!$I:$I,재고!$A:$A,$A47))</f>
        <v/>
      </c>
      <c r="H47" s="34" t="str">
        <f aca="false">IF($A47="","",F47+G47)</f>
        <v/>
      </c>
      <c r="I47" s="34" t="str">
        <f aca="false">IF($A47="","",SUM($F$5:F47))</f>
        <v/>
      </c>
      <c r="J47" s="34" t="str">
        <f aca="false">IF($A47="","",SUM($H$5:H47))</f>
        <v/>
      </c>
      <c r="K47" s="36" t="str">
        <f aca="false">IF($A47="","",IF(H47&lt;-운용규칙!$B$9,"한도초과","OK"))</f>
        <v/>
      </c>
      <c r="L47" s="36" t="str">
        <f aca="false">IF($A47="","",COUNTIFS(매매일지!$B:$B,$A47,매매일지!$R:$R,"위반"))</f>
        <v/>
      </c>
    </row>
    <row r="48" customFormat="false" ht="15" hidden="false" customHeight="false" outlineLevel="0" collapsed="false">
      <c r="A48" s="29"/>
      <c r="B48" s="36" t="str">
        <f aca="false">IF($A48="","",COUNTIFS(매매일지!$B:$B,$A48))</f>
        <v/>
      </c>
      <c r="C48" s="34" t="str">
        <f aca="false">IF($A48="","",SUMIFS(매매일지!$L:$L,매매일지!$B:$B,$A48)-SUMIFS(매매일지!$K:$K,매매일지!$B:$B,$A48))</f>
        <v/>
      </c>
      <c r="D48" s="34" t="str">
        <f aca="false">IF($A48="","",SUMIFS(매매일지!$N:$N,매매일지!$B:$B,$A48))</f>
        <v/>
      </c>
      <c r="E48" s="42"/>
      <c r="F48" s="34" t="str">
        <f aca="false">IF($A48="","",C48-D48-N(E48))</f>
        <v/>
      </c>
      <c r="G48" s="34" t="str">
        <f aca="false">IF($A48="","",SUMIFS(재고!$I:$I,재고!$A:$A,$A48))</f>
        <v/>
      </c>
      <c r="H48" s="34" t="str">
        <f aca="false">IF($A48="","",F48+G48)</f>
        <v/>
      </c>
      <c r="I48" s="34" t="str">
        <f aca="false">IF($A48="","",SUM($F$5:F48))</f>
        <v/>
      </c>
      <c r="J48" s="34" t="str">
        <f aca="false">IF($A48="","",SUM($H$5:H48))</f>
        <v/>
      </c>
      <c r="K48" s="36" t="str">
        <f aca="false">IF($A48="","",IF(H48&lt;-운용규칙!$B$9,"한도초과","OK"))</f>
        <v/>
      </c>
      <c r="L48" s="36" t="str">
        <f aca="false">IF($A48="","",COUNTIFS(매매일지!$B:$B,$A48,매매일지!$R:$R,"위반"))</f>
        <v/>
      </c>
    </row>
    <row r="49" customFormat="false" ht="15" hidden="false" customHeight="false" outlineLevel="0" collapsed="false">
      <c r="A49" s="29"/>
      <c r="B49" s="36" t="str">
        <f aca="false">IF($A49="","",COUNTIFS(매매일지!$B:$B,$A49))</f>
        <v/>
      </c>
      <c r="C49" s="34" t="str">
        <f aca="false">IF($A49="","",SUMIFS(매매일지!$L:$L,매매일지!$B:$B,$A49)-SUMIFS(매매일지!$K:$K,매매일지!$B:$B,$A49))</f>
        <v/>
      </c>
      <c r="D49" s="34" t="str">
        <f aca="false">IF($A49="","",SUMIFS(매매일지!$N:$N,매매일지!$B:$B,$A49))</f>
        <v/>
      </c>
      <c r="E49" s="42"/>
      <c r="F49" s="34" t="str">
        <f aca="false">IF($A49="","",C49-D49-N(E49))</f>
        <v/>
      </c>
      <c r="G49" s="34" t="str">
        <f aca="false">IF($A49="","",SUMIFS(재고!$I:$I,재고!$A:$A,$A49))</f>
        <v/>
      </c>
      <c r="H49" s="34" t="str">
        <f aca="false">IF($A49="","",F49+G49)</f>
        <v/>
      </c>
      <c r="I49" s="34" t="str">
        <f aca="false">IF($A49="","",SUM($F$5:F49))</f>
        <v/>
      </c>
      <c r="J49" s="34" t="str">
        <f aca="false">IF($A49="","",SUM($H$5:H49))</f>
        <v/>
      </c>
      <c r="K49" s="36" t="str">
        <f aca="false">IF($A49="","",IF(H49&lt;-운용규칙!$B$9,"한도초과","OK"))</f>
        <v/>
      </c>
      <c r="L49" s="36" t="str">
        <f aca="false">IF($A49="","",COUNTIFS(매매일지!$B:$B,$A49,매매일지!$R:$R,"위반"))</f>
        <v/>
      </c>
    </row>
    <row r="50" customFormat="false" ht="15" hidden="false" customHeight="false" outlineLevel="0" collapsed="false">
      <c r="A50" s="29"/>
      <c r="B50" s="36" t="str">
        <f aca="false">IF($A50="","",COUNTIFS(매매일지!$B:$B,$A50))</f>
        <v/>
      </c>
      <c r="C50" s="34" t="str">
        <f aca="false">IF($A50="","",SUMIFS(매매일지!$L:$L,매매일지!$B:$B,$A50)-SUMIFS(매매일지!$K:$K,매매일지!$B:$B,$A50))</f>
        <v/>
      </c>
      <c r="D50" s="34" t="str">
        <f aca="false">IF($A50="","",SUMIFS(매매일지!$N:$N,매매일지!$B:$B,$A50))</f>
        <v/>
      </c>
      <c r="E50" s="42"/>
      <c r="F50" s="34" t="str">
        <f aca="false">IF($A50="","",C50-D50-N(E50))</f>
        <v/>
      </c>
      <c r="G50" s="34" t="str">
        <f aca="false">IF($A50="","",SUMIFS(재고!$I:$I,재고!$A:$A,$A50))</f>
        <v/>
      </c>
      <c r="H50" s="34" t="str">
        <f aca="false">IF($A50="","",F50+G50)</f>
        <v/>
      </c>
      <c r="I50" s="34" t="str">
        <f aca="false">IF($A50="","",SUM($F$5:F50))</f>
        <v/>
      </c>
      <c r="J50" s="34" t="str">
        <f aca="false">IF($A50="","",SUM($H$5:H50))</f>
        <v/>
      </c>
      <c r="K50" s="36" t="str">
        <f aca="false">IF($A50="","",IF(H50&lt;-운용규칙!$B$9,"한도초과","OK"))</f>
        <v/>
      </c>
      <c r="L50" s="36" t="str">
        <f aca="false">IF($A50="","",COUNTIFS(매매일지!$B:$B,$A50,매매일지!$R:$R,"위반"))</f>
        <v/>
      </c>
    </row>
    <row r="51" customFormat="false" ht="15" hidden="false" customHeight="false" outlineLevel="0" collapsed="false">
      <c r="A51" s="29"/>
      <c r="B51" s="36" t="str">
        <f aca="false">IF($A51="","",COUNTIFS(매매일지!$B:$B,$A51))</f>
        <v/>
      </c>
      <c r="C51" s="34" t="str">
        <f aca="false">IF($A51="","",SUMIFS(매매일지!$L:$L,매매일지!$B:$B,$A51)-SUMIFS(매매일지!$K:$K,매매일지!$B:$B,$A51))</f>
        <v/>
      </c>
      <c r="D51" s="34" t="str">
        <f aca="false">IF($A51="","",SUMIFS(매매일지!$N:$N,매매일지!$B:$B,$A51))</f>
        <v/>
      </c>
      <c r="E51" s="42"/>
      <c r="F51" s="34" t="str">
        <f aca="false">IF($A51="","",C51-D51-N(E51))</f>
        <v/>
      </c>
      <c r="G51" s="34" t="str">
        <f aca="false">IF($A51="","",SUMIFS(재고!$I:$I,재고!$A:$A,$A51))</f>
        <v/>
      </c>
      <c r="H51" s="34" t="str">
        <f aca="false">IF($A51="","",F51+G51)</f>
        <v/>
      </c>
      <c r="I51" s="34" t="str">
        <f aca="false">IF($A51="","",SUM($F$5:F51))</f>
        <v/>
      </c>
      <c r="J51" s="34" t="str">
        <f aca="false">IF($A51="","",SUM($H$5:H51))</f>
        <v/>
      </c>
      <c r="K51" s="36" t="str">
        <f aca="false">IF($A51="","",IF(H51&lt;-운용규칙!$B$9,"한도초과","OK"))</f>
        <v/>
      </c>
      <c r="L51" s="36" t="str">
        <f aca="false">IF($A51="","",COUNTIFS(매매일지!$B:$B,$A51,매매일지!$R:$R,"위반"))</f>
        <v/>
      </c>
    </row>
    <row r="52" customFormat="false" ht="15" hidden="false" customHeight="false" outlineLevel="0" collapsed="false">
      <c r="A52" s="29"/>
      <c r="B52" s="36" t="str">
        <f aca="false">IF($A52="","",COUNTIFS(매매일지!$B:$B,$A52))</f>
        <v/>
      </c>
      <c r="C52" s="34" t="str">
        <f aca="false">IF($A52="","",SUMIFS(매매일지!$L:$L,매매일지!$B:$B,$A52)-SUMIFS(매매일지!$K:$K,매매일지!$B:$B,$A52))</f>
        <v/>
      </c>
      <c r="D52" s="34" t="str">
        <f aca="false">IF($A52="","",SUMIFS(매매일지!$N:$N,매매일지!$B:$B,$A52))</f>
        <v/>
      </c>
      <c r="E52" s="42"/>
      <c r="F52" s="34" t="str">
        <f aca="false">IF($A52="","",C52-D52-N(E52))</f>
        <v/>
      </c>
      <c r="G52" s="34" t="str">
        <f aca="false">IF($A52="","",SUMIFS(재고!$I:$I,재고!$A:$A,$A52))</f>
        <v/>
      </c>
      <c r="H52" s="34" t="str">
        <f aca="false">IF($A52="","",F52+G52)</f>
        <v/>
      </c>
      <c r="I52" s="34" t="str">
        <f aca="false">IF($A52="","",SUM($F$5:F52))</f>
        <v/>
      </c>
      <c r="J52" s="34" t="str">
        <f aca="false">IF($A52="","",SUM($H$5:H52))</f>
        <v/>
      </c>
      <c r="K52" s="36" t="str">
        <f aca="false">IF($A52="","",IF(H52&lt;-운용규칙!$B$9,"한도초과","OK"))</f>
        <v/>
      </c>
      <c r="L52" s="36" t="str">
        <f aca="false">IF($A52="","",COUNTIFS(매매일지!$B:$B,$A52,매매일지!$R:$R,"위반"))</f>
        <v/>
      </c>
    </row>
    <row r="53" customFormat="false" ht="15" hidden="false" customHeight="false" outlineLevel="0" collapsed="false">
      <c r="A53" s="29"/>
      <c r="B53" s="36" t="str">
        <f aca="false">IF($A53="","",COUNTIFS(매매일지!$B:$B,$A53))</f>
        <v/>
      </c>
      <c r="C53" s="34" t="str">
        <f aca="false">IF($A53="","",SUMIFS(매매일지!$L:$L,매매일지!$B:$B,$A53)-SUMIFS(매매일지!$K:$K,매매일지!$B:$B,$A53))</f>
        <v/>
      </c>
      <c r="D53" s="34" t="str">
        <f aca="false">IF($A53="","",SUMIFS(매매일지!$N:$N,매매일지!$B:$B,$A53))</f>
        <v/>
      </c>
      <c r="E53" s="42"/>
      <c r="F53" s="34" t="str">
        <f aca="false">IF($A53="","",C53-D53-N(E53))</f>
        <v/>
      </c>
      <c r="G53" s="34" t="str">
        <f aca="false">IF($A53="","",SUMIFS(재고!$I:$I,재고!$A:$A,$A53))</f>
        <v/>
      </c>
      <c r="H53" s="34" t="str">
        <f aca="false">IF($A53="","",F53+G53)</f>
        <v/>
      </c>
      <c r="I53" s="34" t="str">
        <f aca="false">IF($A53="","",SUM($F$5:F53))</f>
        <v/>
      </c>
      <c r="J53" s="34" t="str">
        <f aca="false">IF($A53="","",SUM($H$5:H53))</f>
        <v/>
      </c>
      <c r="K53" s="36" t="str">
        <f aca="false">IF($A53="","",IF(H53&lt;-운용규칙!$B$9,"한도초과","OK"))</f>
        <v/>
      </c>
      <c r="L53" s="36" t="str">
        <f aca="false">IF($A53="","",COUNTIFS(매매일지!$B:$B,$A53,매매일지!$R:$R,"위반"))</f>
        <v/>
      </c>
    </row>
    <row r="54" customFormat="false" ht="15" hidden="false" customHeight="false" outlineLevel="0" collapsed="false">
      <c r="A54" s="29"/>
      <c r="B54" s="36" t="str">
        <f aca="false">IF($A54="","",COUNTIFS(매매일지!$B:$B,$A54))</f>
        <v/>
      </c>
      <c r="C54" s="34" t="str">
        <f aca="false">IF($A54="","",SUMIFS(매매일지!$L:$L,매매일지!$B:$B,$A54)-SUMIFS(매매일지!$K:$K,매매일지!$B:$B,$A54))</f>
        <v/>
      </c>
      <c r="D54" s="34" t="str">
        <f aca="false">IF($A54="","",SUMIFS(매매일지!$N:$N,매매일지!$B:$B,$A54))</f>
        <v/>
      </c>
      <c r="E54" s="42"/>
      <c r="F54" s="34" t="str">
        <f aca="false">IF($A54="","",C54-D54-N(E54))</f>
        <v/>
      </c>
      <c r="G54" s="34" t="str">
        <f aca="false">IF($A54="","",SUMIFS(재고!$I:$I,재고!$A:$A,$A54))</f>
        <v/>
      </c>
      <c r="H54" s="34" t="str">
        <f aca="false">IF($A54="","",F54+G54)</f>
        <v/>
      </c>
      <c r="I54" s="34" t="str">
        <f aca="false">IF($A54="","",SUM($F$5:F54))</f>
        <v/>
      </c>
      <c r="J54" s="34" t="str">
        <f aca="false">IF($A54="","",SUM($H$5:H54))</f>
        <v/>
      </c>
      <c r="K54" s="36" t="str">
        <f aca="false">IF($A54="","",IF(H54&lt;-운용규칙!$B$9,"한도초과","OK"))</f>
        <v/>
      </c>
      <c r="L54" s="36" t="str">
        <f aca="false">IF($A54="","",COUNTIFS(매매일지!$B:$B,$A54,매매일지!$R:$R,"위반"))</f>
        <v/>
      </c>
    </row>
    <row r="55" customFormat="false" ht="15" hidden="false" customHeight="false" outlineLevel="0" collapsed="false">
      <c r="A55" s="29"/>
      <c r="B55" s="36" t="str">
        <f aca="false">IF($A55="","",COUNTIFS(매매일지!$B:$B,$A55))</f>
        <v/>
      </c>
      <c r="C55" s="34" t="str">
        <f aca="false">IF($A55="","",SUMIFS(매매일지!$L:$L,매매일지!$B:$B,$A55)-SUMIFS(매매일지!$K:$K,매매일지!$B:$B,$A55))</f>
        <v/>
      </c>
      <c r="D55" s="34" t="str">
        <f aca="false">IF($A55="","",SUMIFS(매매일지!$N:$N,매매일지!$B:$B,$A55))</f>
        <v/>
      </c>
      <c r="E55" s="42"/>
      <c r="F55" s="34" t="str">
        <f aca="false">IF($A55="","",C55-D55-N(E55))</f>
        <v/>
      </c>
      <c r="G55" s="34" t="str">
        <f aca="false">IF($A55="","",SUMIFS(재고!$I:$I,재고!$A:$A,$A55))</f>
        <v/>
      </c>
      <c r="H55" s="34" t="str">
        <f aca="false">IF($A55="","",F55+G55)</f>
        <v/>
      </c>
      <c r="I55" s="34" t="str">
        <f aca="false">IF($A55="","",SUM($F$5:F55))</f>
        <v/>
      </c>
      <c r="J55" s="34" t="str">
        <f aca="false">IF($A55="","",SUM($H$5:H55))</f>
        <v/>
      </c>
      <c r="K55" s="36" t="str">
        <f aca="false">IF($A55="","",IF(H55&lt;-운용규칙!$B$9,"한도초과","OK"))</f>
        <v/>
      </c>
      <c r="L55" s="36" t="str">
        <f aca="false">IF($A55="","",COUNTIFS(매매일지!$B:$B,$A55,매매일지!$R:$R,"위반"))</f>
        <v/>
      </c>
    </row>
    <row r="56" customFormat="false" ht="15" hidden="false" customHeight="false" outlineLevel="0" collapsed="false">
      <c r="A56" s="29"/>
      <c r="B56" s="36" t="str">
        <f aca="false">IF($A56="","",COUNTIFS(매매일지!$B:$B,$A56))</f>
        <v/>
      </c>
      <c r="C56" s="34" t="str">
        <f aca="false">IF($A56="","",SUMIFS(매매일지!$L:$L,매매일지!$B:$B,$A56)-SUMIFS(매매일지!$K:$K,매매일지!$B:$B,$A56))</f>
        <v/>
      </c>
      <c r="D56" s="34" t="str">
        <f aca="false">IF($A56="","",SUMIFS(매매일지!$N:$N,매매일지!$B:$B,$A56))</f>
        <v/>
      </c>
      <c r="E56" s="42"/>
      <c r="F56" s="34" t="str">
        <f aca="false">IF($A56="","",C56-D56-N(E56))</f>
        <v/>
      </c>
      <c r="G56" s="34" t="str">
        <f aca="false">IF($A56="","",SUMIFS(재고!$I:$I,재고!$A:$A,$A56))</f>
        <v/>
      </c>
      <c r="H56" s="34" t="str">
        <f aca="false">IF($A56="","",F56+G56)</f>
        <v/>
      </c>
      <c r="I56" s="34" t="str">
        <f aca="false">IF($A56="","",SUM($F$5:F56))</f>
        <v/>
      </c>
      <c r="J56" s="34" t="str">
        <f aca="false">IF($A56="","",SUM($H$5:H56))</f>
        <v/>
      </c>
      <c r="K56" s="36" t="str">
        <f aca="false">IF($A56="","",IF(H56&lt;-운용규칙!$B$9,"한도초과","OK"))</f>
        <v/>
      </c>
      <c r="L56" s="36" t="str">
        <f aca="false">IF($A56="","",COUNTIFS(매매일지!$B:$B,$A56,매매일지!$R:$R,"위반"))</f>
        <v/>
      </c>
    </row>
    <row r="57" customFormat="false" ht="15" hidden="false" customHeight="false" outlineLevel="0" collapsed="false">
      <c r="A57" s="29"/>
      <c r="B57" s="36" t="str">
        <f aca="false">IF($A57="","",COUNTIFS(매매일지!$B:$B,$A57))</f>
        <v/>
      </c>
      <c r="C57" s="34" t="str">
        <f aca="false">IF($A57="","",SUMIFS(매매일지!$L:$L,매매일지!$B:$B,$A57)-SUMIFS(매매일지!$K:$K,매매일지!$B:$B,$A57))</f>
        <v/>
      </c>
      <c r="D57" s="34" t="str">
        <f aca="false">IF($A57="","",SUMIFS(매매일지!$N:$N,매매일지!$B:$B,$A57))</f>
        <v/>
      </c>
      <c r="E57" s="42"/>
      <c r="F57" s="34" t="str">
        <f aca="false">IF($A57="","",C57-D57-N(E57))</f>
        <v/>
      </c>
      <c r="G57" s="34" t="str">
        <f aca="false">IF($A57="","",SUMIFS(재고!$I:$I,재고!$A:$A,$A57))</f>
        <v/>
      </c>
      <c r="H57" s="34" t="str">
        <f aca="false">IF($A57="","",F57+G57)</f>
        <v/>
      </c>
      <c r="I57" s="34" t="str">
        <f aca="false">IF($A57="","",SUM($F$5:F57))</f>
        <v/>
      </c>
      <c r="J57" s="34" t="str">
        <f aca="false">IF($A57="","",SUM($H$5:H57))</f>
        <v/>
      </c>
      <c r="K57" s="36" t="str">
        <f aca="false">IF($A57="","",IF(H57&lt;-운용규칙!$B$9,"한도초과","OK"))</f>
        <v/>
      </c>
      <c r="L57" s="36" t="str">
        <f aca="false">IF($A57="","",COUNTIFS(매매일지!$B:$B,$A57,매매일지!$R:$R,"위반"))</f>
        <v/>
      </c>
    </row>
    <row r="58" customFormat="false" ht="15" hidden="false" customHeight="false" outlineLevel="0" collapsed="false">
      <c r="A58" s="29"/>
      <c r="B58" s="36" t="str">
        <f aca="false">IF($A58="","",COUNTIFS(매매일지!$B:$B,$A58))</f>
        <v/>
      </c>
      <c r="C58" s="34" t="str">
        <f aca="false">IF($A58="","",SUMIFS(매매일지!$L:$L,매매일지!$B:$B,$A58)-SUMIFS(매매일지!$K:$K,매매일지!$B:$B,$A58))</f>
        <v/>
      </c>
      <c r="D58" s="34" t="str">
        <f aca="false">IF($A58="","",SUMIFS(매매일지!$N:$N,매매일지!$B:$B,$A58))</f>
        <v/>
      </c>
      <c r="E58" s="42"/>
      <c r="F58" s="34" t="str">
        <f aca="false">IF($A58="","",C58-D58-N(E58))</f>
        <v/>
      </c>
      <c r="G58" s="34" t="str">
        <f aca="false">IF($A58="","",SUMIFS(재고!$I:$I,재고!$A:$A,$A58))</f>
        <v/>
      </c>
      <c r="H58" s="34" t="str">
        <f aca="false">IF($A58="","",F58+G58)</f>
        <v/>
      </c>
      <c r="I58" s="34" t="str">
        <f aca="false">IF($A58="","",SUM($F$5:F58))</f>
        <v/>
      </c>
      <c r="J58" s="34" t="str">
        <f aca="false">IF($A58="","",SUM($H$5:H58))</f>
        <v/>
      </c>
      <c r="K58" s="36" t="str">
        <f aca="false">IF($A58="","",IF(H58&lt;-운용규칙!$B$9,"한도초과","OK"))</f>
        <v/>
      </c>
      <c r="L58" s="36" t="str">
        <f aca="false">IF($A58="","",COUNTIFS(매매일지!$B:$B,$A58,매매일지!$R:$R,"위반"))</f>
        <v/>
      </c>
    </row>
    <row r="59" customFormat="false" ht="15" hidden="false" customHeight="false" outlineLevel="0" collapsed="false">
      <c r="A59" s="29"/>
      <c r="B59" s="36" t="str">
        <f aca="false">IF($A59="","",COUNTIFS(매매일지!$B:$B,$A59))</f>
        <v/>
      </c>
      <c r="C59" s="34" t="str">
        <f aca="false">IF($A59="","",SUMIFS(매매일지!$L:$L,매매일지!$B:$B,$A59)-SUMIFS(매매일지!$K:$K,매매일지!$B:$B,$A59))</f>
        <v/>
      </c>
      <c r="D59" s="34" t="str">
        <f aca="false">IF($A59="","",SUMIFS(매매일지!$N:$N,매매일지!$B:$B,$A59))</f>
        <v/>
      </c>
      <c r="E59" s="42"/>
      <c r="F59" s="34" t="str">
        <f aca="false">IF($A59="","",C59-D59-N(E59))</f>
        <v/>
      </c>
      <c r="G59" s="34" t="str">
        <f aca="false">IF($A59="","",SUMIFS(재고!$I:$I,재고!$A:$A,$A59))</f>
        <v/>
      </c>
      <c r="H59" s="34" t="str">
        <f aca="false">IF($A59="","",F59+G59)</f>
        <v/>
      </c>
      <c r="I59" s="34" t="str">
        <f aca="false">IF($A59="","",SUM($F$5:F59))</f>
        <v/>
      </c>
      <c r="J59" s="34" t="str">
        <f aca="false">IF($A59="","",SUM($H$5:H59))</f>
        <v/>
      </c>
      <c r="K59" s="36" t="str">
        <f aca="false">IF($A59="","",IF(H59&lt;-운용규칙!$B$9,"한도초과","OK"))</f>
        <v/>
      </c>
      <c r="L59" s="36" t="str">
        <f aca="false">IF($A59="","",COUNTIFS(매매일지!$B:$B,$A59,매매일지!$R:$R,"위반"))</f>
        <v/>
      </c>
    </row>
    <row r="60" customFormat="false" ht="15" hidden="false" customHeight="false" outlineLevel="0" collapsed="false">
      <c r="A60" s="29"/>
      <c r="B60" s="36" t="str">
        <f aca="false">IF($A60="","",COUNTIFS(매매일지!$B:$B,$A60))</f>
        <v/>
      </c>
      <c r="C60" s="34" t="str">
        <f aca="false">IF($A60="","",SUMIFS(매매일지!$L:$L,매매일지!$B:$B,$A60)-SUMIFS(매매일지!$K:$K,매매일지!$B:$B,$A60))</f>
        <v/>
      </c>
      <c r="D60" s="34" t="str">
        <f aca="false">IF($A60="","",SUMIFS(매매일지!$N:$N,매매일지!$B:$B,$A60))</f>
        <v/>
      </c>
      <c r="E60" s="42"/>
      <c r="F60" s="34" t="str">
        <f aca="false">IF($A60="","",C60-D60-N(E60))</f>
        <v/>
      </c>
      <c r="G60" s="34" t="str">
        <f aca="false">IF($A60="","",SUMIFS(재고!$I:$I,재고!$A:$A,$A60))</f>
        <v/>
      </c>
      <c r="H60" s="34" t="str">
        <f aca="false">IF($A60="","",F60+G60)</f>
        <v/>
      </c>
      <c r="I60" s="34" t="str">
        <f aca="false">IF($A60="","",SUM($F$5:F60))</f>
        <v/>
      </c>
      <c r="J60" s="34" t="str">
        <f aca="false">IF($A60="","",SUM($H$5:H60))</f>
        <v/>
      </c>
      <c r="K60" s="36" t="str">
        <f aca="false">IF($A60="","",IF(H60&lt;-운용규칙!$B$9,"한도초과","OK"))</f>
        <v/>
      </c>
      <c r="L60" s="36" t="str">
        <f aca="false">IF($A60="","",COUNTIFS(매매일지!$B:$B,$A60,매매일지!$R:$R,"위반"))</f>
        <v/>
      </c>
    </row>
    <row r="61" customFormat="false" ht="15" hidden="false" customHeight="false" outlineLevel="0" collapsed="false">
      <c r="A61" s="29"/>
      <c r="B61" s="36" t="str">
        <f aca="false">IF($A61="","",COUNTIFS(매매일지!$B:$B,$A61))</f>
        <v/>
      </c>
      <c r="C61" s="34" t="str">
        <f aca="false">IF($A61="","",SUMIFS(매매일지!$L:$L,매매일지!$B:$B,$A61)-SUMIFS(매매일지!$K:$K,매매일지!$B:$B,$A61))</f>
        <v/>
      </c>
      <c r="D61" s="34" t="str">
        <f aca="false">IF($A61="","",SUMIFS(매매일지!$N:$N,매매일지!$B:$B,$A61))</f>
        <v/>
      </c>
      <c r="E61" s="42"/>
      <c r="F61" s="34" t="str">
        <f aca="false">IF($A61="","",C61-D61-N(E61))</f>
        <v/>
      </c>
      <c r="G61" s="34" t="str">
        <f aca="false">IF($A61="","",SUMIFS(재고!$I:$I,재고!$A:$A,$A61))</f>
        <v/>
      </c>
      <c r="H61" s="34" t="str">
        <f aca="false">IF($A61="","",F61+G61)</f>
        <v/>
      </c>
      <c r="I61" s="34" t="str">
        <f aca="false">IF($A61="","",SUM($F$5:F61))</f>
        <v/>
      </c>
      <c r="J61" s="34" t="str">
        <f aca="false">IF($A61="","",SUM($H$5:H61))</f>
        <v/>
      </c>
      <c r="K61" s="36" t="str">
        <f aca="false">IF($A61="","",IF(H61&lt;-운용규칙!$B$9,"한도초과","OK"))</f>
        <v/>
      </c>
      <c r="L61" s="36" t="str">
        <f aca="false">IF($A61="","",COUNTIFS(매매일지!$B:$B,$A61,매매일지!$R:$R,"위반"))</f>
        <v/>
      </c>
    </row>
    <row r="62" customFormat="false" ht="15" hidden="false" customHeight="false" outlineLevel="0" collapsed="false">
      <c r="A62" s="29"/>
      <c r="B62" s="36" t="str">
        <f aca="false">IF($A62="","",COUNTIFS(매매일지!$B:$B,$A62))</f>
        <v/>
      </c>
      <c r="C62" s="34" t="str">
        <f aca="false">IF($A62="","",SUMIFS(매매일지!$L:$L,매매일지!$B:$B,$A62)-SUMIFS(매매일지!$K:$K,매매일지!$B:$B,$A62))</f>
        <v/>
      </c>
      <c r="D62" s="34" t="str">
        <f aca="false">IF($A62="","",SUMIFS(매매일지!$N:$N,매매일지!$B:$B,$A62))</f>
        <v/>
      </c>
      <c r="E62" s="42"/>
      <c r="F62" s="34" t="str">
        <f aca="false">IF($A62="","",C62-D62-N(E62))</f>
        <v/>
      </c>
      <c r="G62" s="34" t="str">
        <f aca="false">IF($A62="","",SUMIFS(재고!$I:$I,재고!$A:$A,$A62))</f>
        <v/>
      </c>
      <c r="H62" s="34" t="str">
        <f aca="false">IF($A62="","",F62+G62)</f>
        <v/>
      </c>
      <c r="I62" s="34" t="str">
        <f aca="false">IF($A62="","",SUM($F$5:F62))</f>
        <v/>
      </c>
      <c r="J62" s="34" t="str">
        <f aca="false">IF($A62="","",SUM($H$5:H62))</f>
        <v/>
      </c>
      <c r="K62" s="36" t="str">
        <f aca="false">IF($A62="","",IF(H62&lt;-운용규칙!$B$9,"한도초과","OK"))</f>
        <v/>
      </c>
      <c r="L62" s="36" t="str">
        <f aca="false">IF($A62="","",COUNTIFS(매매일지!$B:$B,$A62,매매일지!$R:$R,"위반"))</f>
        <v/>
      </c>
    </row>
    <row r="63" customFormat="false" ht="15" hidden="false" customHeight="false" outlineLevel="0" collapsed="false">
      <c r="A63" s="29"/>
      <c r="B63" s="36" t="str">
        <f aca="false">IF($A63="","",COUNTIFS(매매일지!$B:$B,$A63))</f>
        <v/>
      </c>
      <c r="C63" s="34" t="str">
        <f aca="false">IF($A63="","",SUMIFS(매매일지!$L:$L,매매일지!$B:$B,$A63)-SUMIFS(매매일지!$K:$K,매매일지!$B:$B,$A63))</f>
        <v/>
      </c>
      <c r="D63" s="34" t="str">
        <f aca="false">IF($A63="","",SUMIFS(매매일지!$N:$N,매매일지!$B:$B,$A63))</f>
        <v/>
      </c>
      <c r="E63" s="42"/>
      <c r="F63" s="34" t="str">
        <f aca="false">IF($A63="","",C63-D63-N(E63))</f>
        <v/>
      </c>
      <c r="G63" s="34" t="str">
        <f aca="false">IF($A63="","",SUMIFS(재고!$I:$I,재고!$A:$A,$A63))</f>
        <v/>
      </c>
      <c r="H63" s="34" t="str">
        <f aca="false">IF($A63="","",F63+G63)</f>
        <v/>
      </c>
      <c r="I63" s="34" t="str">
        <f aca="false">IF($A63="","",SUM($F$5:F63))</f>
        <v/>
      </c>
      <c r="J63" s="34" t="str">
        <f aca="false">IF($A63="","",SUM($H$5:H63))</f>
        <v/>
      </c>
      <c r="K63" s="36" t="str">
        <f aca="false">IF($A63="","",IF(H63&lt;-운용규칙!$B$9,"한도초과","OK"))</f>
        <v/>
      </c>
      <c r="L63" s="36" t="str">
        <f aca="false">IF($A63="","",COUNTIFS(매매일지!$B:$B,$A63,매매일지!$R:$R,"위반"))</f>
        <v/>
      </c>
    </row>
    <row r="64" customFormat="false" ht="15" hidden="false" customHeight="false" outlineLevel="0" collapsed="false">
      <c r="A64" s="29"/>
      <c r="B64" s="36" t="str">
        <f aca="false">IF($A64="","",COUNTIFS(매매일지!$B:$B,$A64))</f>
        <v/>
      </c>
      <c r="C64" s="34" t="str">
        <f aca="false">IF($A64="","",SUMIFS(매매일지!$L:$L,매매일지!$B:$B,$A64)-SUMIFS(매매일지!$K:$K,매매일지!$B:$B,$A64))</f>
        <v/>
      </c>
      <c r="D64" s="34" t="str">
        <f aca="false">IF($A64="","",SUMIFS(매매일지!$N:$N,매매일지!$B:$B,$A64))</f>
        <v/>
      </c>
      <c r="E64" s="42"/>
      <c r="F64" s="34" t="str">
        <f aca="false">IF($A64="","",C64-D64-N(E64))</f>
        <v/>
      </c>
      <c r="G64" s="34" t="str">
        <f aca="false">IF($A64="","",SUMIFS(재고!$I:$I,재고!$A:$A,$A64))</f>
        <v/>
      </c>
      <c r="H64" s="34" t="str">
        <f aca="false">IF($A64="","",F64+G64)</f>
        <v/>
      </c>
      <c r="I64" s="34" t="str">
        <f aca="false">IF($A64="","",SUM($F$5:F64))</f>
        <v/>
      </c>
      <c r="J64" s="34" t="str">
        <f aca="false">IF($A64="","",SUM($H$5:H64))</f>
        <v/>
      </c>
      <c r="K64" s="36" t="str">
        <f aca="false">IF($A64="","",IF(H64&lt;-운용규칙!$B$9,"한도초과","OK"))</f>
        <v/>
      </c>
      <c r="L64" s="36" t="str">
        <f aca="false">IF($A64="","",COUNTIFS(매매일지!$B:$B,$A64,매매일지!$R:$R,"위반"))</f>
        <v/>
      </c>
    </row>
    <row r="65" customFormat="false" ht="15" hidden="false" customHeight="false" outlineLevel="0" collapsed="false">
      <c r="A65" s="29"/>
      <c r="B65" s="36" t="str">
        <f aca="false">IF($A65="","",COUNTIFS(매매일지!$B:$B,$A65))</f>
        <v/>
      </c>
      <c r="C65" s="34" t="str">
        <f aca="false">IF($A65="","",SUMIFS(매매일지!$L:$L,매매일지!$B:$B,$A65)-SUMIFS(매매일지!$K:$K,매매일지!$B:$B,$A65))</f>
        <v/>
      </c>
      <c r="D65" s="34" t="str">
        <f aca="false">IF($A65="","",SUMIFS(매매일지!$N:$N,매매일지!$B:$B,$A65))</f>
        <v/>
      </c>
      <c r="E65" s="42"/>
      <c r="F65" s="34" t="str">
        <f aca="false">IF($A65="","",C65-D65-N(E65))</f>
        <v/>
      </c>
      <c r="G65" s="34" t="str">
        <f aca="false">IF($A65="","",SUMIFS(재고!$I:$I,재고!$A:$A,$A65))</f>
        <v/>
      </c>
      <c r="H65" s="34" t="str">
        <f aca="false">IF($A65="","",F65+G65)</f>
        <v/>
      </c>
      <c r="I65" s="34" t="str">
        <f aca="false">IF($A65="","",SUM($F$5:F65))</f>
        <v/>
      </c>
      <c r="J65" s="34" t="str">
        <f aca="false">IF($A65="","",SUM($H$5:H65))</f>
        <v/>
      </c>
      <c r="K65" s="36" t="str">
        <f aca="false">IF($A65="","",IF(H65&lt;-운용규칙!$B$9,"한도초과","OK"))</f>
        <v/>
      </c>
      <c r="L65" s="36" t="str">
        <f aca="false">IF($A65="","",COUNTIFS(매매일지!$B:$B,$A65,매매일지!$R:$R,"위반"))</f>
        <v/>
      </c>
    </row>
    <row r="66" customFormat="false" ht="15" hidden="false" customHeight="false" outlineLevel="0" collapsed="false">
      <c r="A66" s="29"/>
      <c r="B66" s="36" t="str">
        <f aca="false">IF($A66="","",COUNTIFS(매매일지!$B:$B,$A66))</f>
        <v/>
      </c>
      <c r="C66" s="34" t="str">
        <f aca="false">IF($A66="","",SUMIFS(매매일지!$L:$L,매매일지!$B:$B,$A66)-SUMIFS(매매일지!$K:$K,매매일지!$B:$B,$A66))</f>
        <v/>
      </c>
      <c r="D66" s="34" t="str">
        <f aca="false">IF($A66="","",SUMIFS(매매일지!$N:$N,매매일지!$B:$B,$A66))</f>
        <v/>
      </c>
      <c r="E66" s="42"/>
      <c r="F66" s="34" t="str">
        <f aca="false">IF($A66="","",C66-D66-N(E66))</f>
        <v/>
      </c>
      <c r="G66" s="34" t="str">
        <f aca="false">IF($A66="","",SUMIFS(재고!$I:$I,재고!$A:$A,$A66))</f>
        <v/>
      </c>
      <c r="H66" s="34" t="str">
        <f aca="false">IF($A66="","",F66+G66)</f>
        <v/>
      </c>
      <c r="I66" s="34" t="str">
        <f aca="false">IF($A66="","",SUM($F$5:F66))</f>
        <v/>
      </c>
      <c r="J66" s="34" t="str">
        <f aca="false">IF($A66="","",SUM($H$5:H66))</f>
        <v/>
      </c>
      <c r="K66" s="36" t="str">
        <f aca="false">IF($A66="","",IF(H66&lt;-운용규칙!$B$9,"한도초과","OK"))</f>
        <v/>
      </c>
      <c r="L66" s="36" t="str">
        <f aca="false">IF($A66="","",COUNTIFS(매매일지!$B:$B,$A66,매매일지!$R:$R,"위반"))</f>
        <v/>
      </c>
    </row>
    <row r="67" customFormat="false" ht="15" hidden="false" customHeight="false" outlineLevel="0" collapsed="false">
      <c r="A67" s="29"/>
      <c r="B67" s="36" t="str">
        <f aca="false">IF($A67="","",COUNTIFS(매매일지!$B:$B,$A67))</f>
        <v/>
      </c>
      <c r="C67" s="34" t="str">
        <f aca="false">IF($A67="","",SUMIFS(매매일지!$L:$L,매매일지!$B:$B,$A67)-SUMIFS(매매일지!$K:$K,매매일지!$B:$B,$A67))</f>
        <v/>
      </c>
      <c r="D67" s="34" t="str">
        <f aca="false">IF($A67="","",SUMIFS(매매일지!$N:$N,매매일지!$B:$B,$A67))</f>
        <v/>
      </c>
      <c r="E67" s="42"/>
      <c r="F67" s="34" t="str">
        <f aca="false">IF($A67="","",C67-D67-N(E67))</f>
        <v/>
      </c>
      <c r="G67" s="34" t="str">
        <f aca="false">IF($A67="","",SUMIFS(재고!$I:$I,재고!$A:$A,$A67))</f>
        <v/>
      </c>
      <c r="H67" s="34" t="str">
        <f aca="false">IF($A67="","",F67+G67)</f>
        <v/>
      </c>
      <c r="I67" s="34" t="str">
        <f aca="false">IF($A67="","",SUM($F$5:F67))</f>
        <v/>
      </c>
      <c r="J67" s="34" t="str">
        <f aca="false">IF($A67="","",SUM($H$5:H67))</f>
        <v/>
      </c>
      <c r="K67" s="36" t="str">
        <f aca="false">IF($A67="","",IF(H67&lt;-운용규칙!$B$9,"한도초과","OK"))</f>
        <v/>
      </c>
      <c r="L67" s="36" t="str">
        <f aca="false">IF($A67="","",COUNTIFS(매매일지!$B:$B,$A67,매매일지!$R:$R,"위반"))</f>
        <v/>
      </c>
    </row>
    <row r="68" customFormat="false" ht="15" hidden="false" customHeight="false" outlineLevel="0" collapsed="false">
      <c r="A68" s="29"/>
      <c r="B68" s="36" t="str">
        <f aca="false">IF($A68="","",COUNTIFS(매매일지!$B:$B,$A68))</f>
        <v/>
      </c>
      <c r="C68" s="34" t="str">
        <f aca="false">IF($A68="","",SUMIFS(매매일지!$L:$L,매매일지!$B:$B,$A68)-SUMIFS(매매일지!$K:$K,매매일지!$B:$B,$A68))</f>
        <v/>
      </c>
      <c r="D68" s="34" t="str">
        <f aca="false">IF($A68="","",SUMIFS(매매일지!$N:$N,매매일지!$B:$B,$A68))</f>
        <v/>
      </c>
      <c r="E68" s="42"/>
      <c r="F68" s="34" t="str">
        <f aca="false">IF($A68="","",C68-D68-N(E68))</f>
        <v/>
      </c>
      <c r="G68" s="34" t="str">
        <f aca="false">IF($A68="","",SUMIFS(재고!$I:$I,재고!$A:$A,$A68))</f>
        <v/>
      </c>
      <c r="H68" s="34" t="str">
        <f aca="false">IF($A68="","",F68+G68)</f>
        <v/>
      </c>
      <c r="I68" s="34" t="str">
        <f aca="false">IF($A68="","",SUM($F$5:F68))</f>
        <v/>
      </c>
      <c r="J68" s="34" t="str">
        <f aca="false">IF($A68="","",SUM($H$5:H68))</f>
        <v/>
      </c>
      <c r="K68" s="36" t="str">
        <f aca="false">IF($A68="","",IF(H68&lt;-운용규칙!$B$9,"한도초과","OK"))</f>
        <v/>
      </c>
      <c r="L68" s="36" t="str">
        <f aca="false">IF($A68="","",COUNTIFS(매매일지!$B:$B,$A68,매매일지!$R:$R,"위반"))</f>
        <v/>
      </c>
    </row>
    <row r="69" customFormat="false" ht="15" hidden="false" customHeight="false" outlineLevel="0" collapsed="false">
      <c r="A69" s="29"/>
      <c r="B69" s="36" t="str">
        <f aca="false">IF($A69="","",COUNTIFS(매매일지!$B:$B,$A69))</f>
        <v/>
      </c>
      <c r="C69" s="34" t="str">
        <f aca="false">IF($A69="","",SUMIFS(매매일지!$L:$L,매매일지!$B:$B,$A69)-SUMIFS(매매일지!$K:$K,매매일지!$B:$B,$A69))</f>
        <v/>
      </c>
      <c r="D69" s="34" t="str">
        <f aca="false">IF($A69="","",SUMIFS(매매일지!$N:$N,매매일지!$B:$B,$A69))</f>
        <v/>
      </c>
      <c r="E69" s="42"/>
      <c r="F69" s="34" t="str">
        <f aca="false">IF($A69="","",C69-D69-N(E69))</f>
        <v/>
      </c>
      <c r="G69" s="34" t="str">
        <f aca="false">IF($A69="","",SUMIFS(재고!$I:$I,재고!$A:$A,$A69))</f>
        <v/>
      </c>
      <c r="H69" s="34" t="str">
        <f aca="false">IF($A69="","",F69+G69)</f>
        <v/>
      </c>
      <c r="I69" s="34" t="str">
        <f aca="false">IF($A69="","",SUM($F$5:F69))</f>
        <v/>
      </c>
      <c r="J69" s="34" t="str">
        <f aca="false">IF($A69="","",SUM($H$5:H69))</f>
        <v/>
      </c>
      <c r="K69" s="36" t="str">
        <f aca="false">IF($A69="","",IF(H69&lt;-운용규칙!$B$9,"한도초과","OK"))</f>
        <v/>
      </c>
      <c r="L69" s="36" t="str">
        <f aca="false">IF($A69="","",COUNTIFS(매매일지!$B:$B,$A69,매매일지!$R:$R,"위반"))</f>
        <v/>
      </c>
    </row>
    <row r="70" customFormat="false" ht="15" hidden="false" customHeight="false" outlineLevel="0" collapsed="false">
      <c r="A70" s="29"/>
      <c r="B70" s="36" t="str">
        <f aca="false">IF($A70="","",COUNTIFS(매매일지!$B:$B,$A70))</f>
        <v/>
      </c>
      <c r="C70" s="34" t="str">
        <f aca="false">IF($A70="","",SUMIFS(매매일지!$L:$L,매매일지!$B:$B,$A70)-SUMIFS(매매일지!$K:$K,매매일지!$B:$B,$A70))</f>
        <v/>
      </c>
      <c r="D70" s="34" t="str">
        <f aca="false">IF($A70="","",SUMIFS(매매일지!$N:$N,매매일지!$B:$B,$A70))</f>
        <v/>
      </c>
      <c r="E70" s="42"/>
      <c r="F70" s="34" t="str">
        <f aca="false">IF($A70="","",C70-D70-N(E70))</f>
        <v/>
      </c>
      <c r="G70" s="34" t="str">
        <f aca="false">IF($A70="","",SUMIFS(재고!$I:$I,재고!$A:$A,$A70))</f>
        <v/>
      </c>
      <c r="H70" s="34" t="str">
        <f aca="false">IF($A70="","",F70+G70)</f>
        <v/>
      </c>
      <c r="I70" s="34" t="str">
        <f aca="false">IF($A70="","",SUM($F$5:F70))</f>
        <v/>
      </c>
      <c r="J70" s="34" t="str">
        <f aca="false">IF($A70="","",SUM($H$5:H70))</f>
        <v/>
      </c>
      <c r="K70" s="36" t="str">
        <f aca="false">IF($A70="","",IF(H70&lt;-운용규칙!$B$9,"한도초과","OK"))</f>
        <v/>
      </c>
      <c r="L70" s="36" t="str">
        <f aca="false">IF($A70="","",COUNTIFS(매매일지!$B:$B,$A70,매매일지!$R:$R,"위반"))</f>
        <v/>
      </c>
    </row>
    <row r="71" customFormat="false" ht="15" hidden="false" customHeight="false" outlineLevel="0" collapsed="false">
      <c r="A71" s="29"/>
      <c r="B71" s="36" t="str">
        <f aca="false">IF($A71="","",COUNTIFS(매매일지!$B:$B,$A71))</f>
        <v/>
      </c>
      <c r="C71" s="34" t="str">
        <f aca="false">IF($A71="","",SUMIFS(매매일지!$L:$L,매매일지!$B:$B,$A71)-SUMIFS(매매일지!$K:$K,매매일지!$B:$B,$A71))</f>
        <v/>
      </c>
      <c r="D71" s="34" t="str">
        <f aca="false">IF($A71="","",SUMIFS(매매일지!$N:$N,매매일지!$B:$B,$A71))</f>
        <v/>
      </c>
      <c r="E71" s="42"/>
      <c r="F71" s="34" t="str">
        <f aca="false">IF($A71="","",C71-D71-N(E71))</f>
        <v/>
      </c>
      <c r="G71" s="34" t="str">
        <f aca="false">IF($A71="","",SUMIFS(재고!$I:$I,재고!$A:$A,$A71))</f>
        <v/>
      </c>
      <c r="H71" s="34" t="str">
        <f aca="false">IF($A71="","",F71+G71)</f>
        <v/>
      </c>
      <c r="I71" s="34" t="str">
        <f aca="false">IF($A71="","",SUM($F$5:F71))</f>
        <v/>
      </c>
      <c r="J71" s="34" t="str">
        <f aca="false">IF($A71="","",SUM($H$5:H71))</f>
        <v/>
      </c>
      <c r="K71" s="36" t="str">
        <f aca="false">IF($A71="","",IF(H71&lt;-운용규칙!$B$9,"한도초과","OK"))</f>
        <v/>
      </c>
      <c r="L71" s="36" t="str">
        <f aca="false">IF($A71="","",COUNTIFS(매매일지!$B:$B,$A71,매매일지!$R:$R,"위반"))</f>
        <v/>
      </c>
    </row>
    <row r="72" customFormat="false" ht="15" hidden="false" customHeight="false" outlineLevel="0" collapsed="false">
      <c r="A72" s="29"/>
      <c r="B72" s="36" t="str">
        <f aca="false">IF($A72="","",COUNTIFS(매매일지!$B:$B,$A72))</f>
        <v/>
      </c>
      <c r="C72" s="34" t="str">
        <f aca="false">IF($A72="","",SUMIFS(매매일지!$L:$L,매매일지!$B:$B,$A72)-SUMIFS(매매일지!$K:$K,매매일지!$B:$B,$A72))</f>
        <v/>
      </c>
      <c r="D72" s="34" t="str">
        <f aca="false">IF($A72="","",SUMIFS(매매일지!$N:$N,매매일지!$B:$B,$A72))</f>
        <v/>
      </c>
      <c r="E72" s="42"/>
      <c r="F72" s="34" t="str">
        <f aca="false">IF($A72="","",C72-D72-N(E72))</f>
        <v/>
      </c>
      <c r="G72" s="34" t="str">
        <f aca="false">IF($A72="","",SUMIFS(재고!$I:$I,재고!$A:$A,$A72))</f>
        <v/>
      </c>
      <c r="H72" s="34" t="str">
        <f aca="false">IF($A72="","",F72+G72)</f>
        <v/>
      </c>
      <c r="I72" s="34" t="str">
        <f aca="false">IF($A72="","",SUM($F$5:F72))</f>
        <v/>
      </c>
      <c r="J72" s="34" t="str">
        <f aca="false">IF($A72="","",SUM($H$5:H72))</f>
        <v/>
      </c>
      <c r="K72" s="36" t="str">
        <f aca="false">IF($A72="","",IF(H72&lt;-운용규칙!$B$9,"한도초과","OK"))</f>
        <v/>
      </c>
      <c r="L72" s="36" t="str">
        <f aca="false">IF($A72="","",COUNTIFS(매매일지!$B:$B,$A72,매매일지!$R:$R,"위반"))</f>
        <v/>
      </c>
    </row>
    <row r="73" customFormat="false" ht="15" hidden="false" customHeight="false" outlineLevel="0" collapsed="false">
      <c r="A73" s="29"/>
      <c r="B73" s="36" t="str">
        <f aca="false">IF($A73="","",COUNTIFS(매매일지!$B:$B,$A73))</f>
        <v/>
      </c>
      <c r="C73" s="34" t="str">
        <f aca="false">IF($A73="","",SUMIFS(매매일지!$L:$L,매매일지!$B:$B,$A73)-SUMIFS(매매일지!$K:$K,매매일지!$B:$B,$A73))</f>
        <v/>
      </c>
      <c r="D73" s="34" t="str">
        <f aca="false">IF($A73="","",SUMIFS(매매일지!$N:$N,매매일지!$B:$B,$A73))</f>
        <v/>
      </c>
      <c r="E73" s="42"/>
      <c r="F73" s="34" t="str">
        <f aca="false">IF($A73="","",C73-D73-N(E73))</f>
        <v/>
      </c>
      <c r="G73" s="34" t="str">
        <f aca="false">IF($A73="","",SUMIFS(재고!$I:$I,재고!$A:$A,$A73))</f>
        <v/>
      </c>
      <c r="H73" s="34" t="str">
        <f aca="false">IF($A73="","",F73+G73)</f>
        <v/>
      </c>
      <c r="I73" s="34" t="str">
        <f aca="false">IF($A73="","",SUM($F$5:F73))</f>
        <v/>
      </c>
      <c r="J73" s="34" t="str">
        <f aca="false">IF($A73="","",SUM($H$5:H73))</f>
        <v/>
      </c>
      <c r="K73" s="36" t="str">
        <f aca="false">IF($A73="","",IF(H73&lt;-운용규칙!$B$9,"한도초과","OK"))</f>
        <v/>
      </c>
      <c r="L73" s="36" t="str">
        <f aca="false">IF($A73="","",COUNTIFS(매매일지!$B:$B,$A73,매매일지!$R:$R,"위반"))</f>
        <v/>
      </c>
    </row>
    <row r="74" customFormat="false" ht="15" hidden="false" customHeight="false" outlineLevel="0" collapsed="false">
      <c r="A74" s="29"/>
      <c r="B74" s="36" t="str">
        <f aca="false">IF($A74="","",COUNTIFS(매매일지!$B:$B,$A74))</f>
        <v/>
      </c>
      <c r="C74" s="34" t="str">
        <f aca="false">IF($A74="","",SUMIFS(매매일지!$L:$L,매매일지!$B:$B,$A74)-SUMIFS(매매일지!$K:$K,매매일지!$B:$B,$A74))</f>
        <v/>
      </c>
      <c r="D74" s="34" t="str">
        <f aca="false">IF($A74="","",SUMIFS(매매일지!$N:$N,매매일지!$B:$B,$A74))</f>
        <v/>
      </c>
      <c r="E74" s="42"/>
      <c r="F74" s="34" t="str">
        <f aca="false">IF($A74="","",C74-D74-N(E74))</f>
        <v/>
      </c>
      <c r="G74" s="34" t="str">
        <f aca="false">IF($A74="","",SUMIFS(재고!$I:$I,재고!$A:$A,$A74))</f>
        <v/>
      </c>
      <c r="H74" s="34" t="str">
        <f aca="false">IF($A74="","",F74+G74)</f>
        <v/>
      </c>
      <c r="I74" s="34" t="str">
        <f aca="false">IF($A74="","",SUM($F$5:F74))</f>
        <v/>
      </c>
      <c r="J74" s="34" t="str">
        <f aca="false">IF($A74="","",SUM($H$5:H74))</f>
        <v/>
      </c>
      <c r="K74" s="36" t="str">
        <f aca="false">IF($A74="","",IF(H74&lt;-운용규칙!$B$9,"한도초과","OK"))</f>
        <v/>
      </c>
      <c r="L74" s="36" t="str">
        <f aca="false">IF($A74="","",COUNTIFS(매매일지!$B:$B,$A74,매매일지!$R:$R,"위반"))</f>
        <v/>
      </c>
    </row>
    <row r="75" customFormat="false" ht="15" hidden="false" customHeight="false" outlineLevel="0" collapsed="false">
      <c r="A75" s="29"/>
      <c r="B75" s="36" t="str">
        <f aca="false">IF($A75="","",COUNTIFS(매매일지!$B:$B,$A75))</f>
        <v/>
      </c>
      <c r="C75" s="34" t="str">
        <f aca="false">IF($A75="","",SUMIFS(매매일지!$L:$L,매매일지!$B:$B,$A75)-SUMIFS(매매일지!$K:$K,매매일지!$B:$B,$A75))</f>
        <v/>
      </c>
      <c r="D75" s="34" t="str">
        <f aca="false">IF($A75="","",SUMIFS(매매일지!$N:$N,매매일지!$B:$B,$A75))</f>
        <v/>
      </c>
      <c r="E75" s="42"/>
      <c r="F75" s="34" t="str">
        <f aca="false">IF($A75="","",C75-D75-N(E75))</f>
        <v/>
      </c>
      <c r="G75" s="34" t="str">
        <f aca="false">IF($A75="","",SUMIFS(재고!$I:$I,재고!$A:$A,$A75))</f>
        <v/>
      </c>
      <c r="H75" s="34" t="str">
        <f aca="false">IF($A75="","",F75+G75)</f>
        <v/>
      </c>
      <c r="I75" s="34" t="str">
        <f aca="false">IF($A75="","",SUM($F$5:F75))</f>
        <v/>
      </c>
      <c r="J75" s="34" t="str">
        <f aca="false">IF($A75="","",SUM($H$5:H75))</f>
        <v/>
      </c>
      <c r="K75" s="36" t="str">
        <f aca="false">IF($A75="","",IF(H75&lt;-운용규칙!$B$9,"한도초과","OK"))</f>
        <v/>
      </c>
      <c r="L75" s="36" t="str">
        <f aca="false">IF($A75="","",COUNTIFS(매매일지!$B:$B,$A75,매매일지!$R:$R,"위반"))</f>
        <v/>
      </c>
    </row>
    <row r="76" customFormat="false" ht="15" hidden="false" customHeight="false" outlineLevel="0" collapsed="false">
      <c r="A76" s="29"/>
      <c r="B76" s="36" t="str">
        <f aca="false">IF($A76="","",COUNTIFS(매매일지!$B:$B,$A76))</f>
        <v/>
      </c>
      <c r="C76" s="34" t="str">
        <f aca="false">IF($A76="","",SUMIFS(매매일지!$L:$L,매매일지!$B:$B,$A76)-SUMIFS(매매일지!$K:$K,매매일지!$B:$B,$A76))</f>
        <v/>
      </c>
      <c r="D76" s="34" t="str">
        <f aca="false">IF($A76="","",SUMIFS(매매일지!$N:$N,매매일지!$B:$B,$A76))</f>
        <v/>
      </c>
      <c r="E76" s="42"/>
      <c r="F76" s="34" t="str">
        <f aca="false">IF($A76="","",C76-D76-N(E76))</f>
        <v/>
      </c>
      <c r="G76" s="34" t="str">
        <f aca="false">IF($A76="","",SUMIFS(재고!$I:$I,재고!$A:$A,$A76))</f>
        <v/>
      </c>
      <c r="H76" s="34" t="str">
        <f aca="false">IF($A76="","",F76+G76)</f>
        <v/>
      </c>
      <c r="I76" s="34" t="str">
        <f aca="false">IF($A76="","",SUM($F$5:F76))</f>
        <v/>
      </c>
      <c r="J76" s="34" t="str">
        <f aca="false">IF($A76="","",SUM($H$5:H76))</f>
        <v/>
      </c>
      <c r="K76" s="36" t="str">
        <f aca="false">IF($A76="","",IF(H76&lt;-운용규칙!$B$9,"한도초과","OK"))</f>
        <v/>
      </c>
      <c r="L76" s="36" t="str">
        <f aca="false">IF($A76="","",COUNTIFS(매매일지!$B:$B,$A76,매매일지!$R:$R,"위반"))</f>
        <v/>
      </c>
    </row>
    <row r="77" customFormat="false" ht="15" hidden="false" customHeight="false" outlineLevel="0" collapsed="false">
      <c r="A77" s="29"/>
      <c r="B77" s="36" t="str">
        <f aca="false">IF($A77="","",COUNTIFS(매매일지!$B:$B,$A77))</f>
        <v/>
      </c>
      <c r="C77" s="34" t="str">
        <f aca="false">IF($A77="","",SUMIFS(매매일지!$L:$L,매매일지!$B:$B,$A77)-SUMIFS(매매일지!$K:$K,매매일지!$B:$B,$A77))</f>
        <v/>
      </c>
      <c r="D77" s="34" t="str">
        <f aca="false">IF($A77="","",SUMIFS(매매일지!$N:$N,매매일지!$B:$B,$A77))</f>
        <v/>
      </c>
      <c r="E77" s="42"/>
      <c r="F77" s="34" t="str">
        <f aca="false">IF($A77="","",C77-D77-N(E77))</f>
        <v/>
      </c>
      <c r="G77" s="34" t="str">
        <f aca="false">IF($A77="","",SUMIFS(재고!$I:$I,재고!$A:$A,$A77))</f>
        <v/>
      </c>
      <c r="H77" s="34" t="str">
        <f aca="false">IF($A77="","",F77+G77)</f>
        <v/>
      </c>
      <c r="I77" s="34" t="str">
        <f aca="false">IF($A77="","",SUM($F$5:F77))</f>
        <v/>
      </c>
      <c r="J77" s="34" t="str">
        <f aca="false">IF($A77="","",SUM($H$5:H77))</f>
        <v/>
      </c>
      <c r="K77" s="36" t="str">
        <f aca="false">IF($A77="","",IF(H77&lt;-운용규칙!$B$9,"한도초과","OK"))</f>
        <v/>
      </c>
      <c r="L77" s="36" t="str">
        <f aca="false">IF($A77="","",COUNTIFS(매매일지!$B:$B,$A77,매매일지!$R:$R,"위반"))</f>
        <v/>
      </c>
    </row>
    <row r="78" customFormat="false" ht="15" hidden="false" customHeight="false" outlineLevel="0" collapsed="false">
      <c r="A78" s="29"/>
      <c r="B78" s="36" t="str">
        <f aca="false">IF($A78="","",COUNTIFS(매매일지!$B:$B,$A78))</f>
        <v/>
      </c>
      <c r="C78" s="34" t="str">
        <f aca="false">IF($A78="","",SUMIFS(매매일지!$L:$L,매매일지!$B:$B,$A78)-SUMIFS(매매일지!$K:$K,매매일지!$B:$B,$A78))</f>
        <v/>
      </c>
      <c r="D78" s="34" t="str">
        <f aca="false">IF($A78="","",SUMIFS(매매일지!$N:$N,매매일지!$B:$B,$A78))</f>
        <v/>
      </c>
      <c r="E78" s="42"/>
      <c r="F78" s="34" t="str">
        <f aca="false">IF($A78="","",C78-D78-N(E78))</f>
        <v/>
      </c>
      <c r="G78" s="34" t="str">
        <f aca="false">IF($A78="","",SUMIFS(재고!$I:$I,재고!$A:$A,$A78))</f>
        <v/>
      </c>
      <c r="H78" s="34" t="str">
        <f aca="false">IF($A78="","",F78+G78)</f>
        <v/>
      </c>
      <c r="I78" s="34" t="str">
        <f aca="false">IF($A78="","",SUM($F$5:F78))</f>
        <v/>
      </c>
      <c r="J78" s="34" t="str">
        <f aca="false">IF($A78="","",SUM($H$5:H78))</f>
        <v/>
      </c>
      <c r="K78" s="36" t="str">
        <f aca="false">IF($A78="","",IF(H78&lt;-운용규칙!$B$9,"한도초과","OK"))</f>
        <v/>
      </c>
      <c r="L78" s="36" t="str">
        <f aca="false">IF($A78="","",COUNTIFS(매매일지!$B:$B,$A78,매매일지!$R:$R,"위반"))</f>
        <v/>
      </c>
    </row>
    <row r="79" customFormat="false" ht="15" hidden="false" customHeight="false" outlineLevel="0" collapsed="false">
      <c r="A79" s="29"/>
      <c r="B79" s="36" t="str">
        <f aca="false">IF($A79="","",COUNTIFS(매매일지!$B:$B,$A79))</f>
        <v/>
      </c>
      <c r="C79" s="34" t="str">
        <f aca="false">IF($A79="","",SUMIFS(매매일지!$L:$L,매매일지!$B:$B,$A79)-SUMIFS(매매일지!$K:$K,매매일지!$B:$B,$A79))</f>
        <v/>
      </c>
      <c r="D79" s="34" t="str">
        <f aca="false">IF($A79="","",SUMIFS(매매일지!$N:$N,매매일지!$B:$B,$A79))</f>
        <v/>
      </c>
      <c r="E79" s="42"/>
      <c r="F79" s="34" t="str">
        <f aca="false">IF($A79="","",C79-D79-N(E79))</f>
        <v/>
      </c>
      <c r="G79" s="34" t="str">
        <f aca="false">IF($A79="","",SUMIFS(재고!$I:$I,재고!$A:$A,$A79))</f>
        <v/>
      </c>
      <c r="H79" s="34" t="str">
        <f aca="false">IF($A79="","",F79+G79)</f>
        <v/>
      </c>
      <c r="I79" s="34" t="str">
        <f aca="false">IF($A79="","",SUM($F$5:F79))</f>
        <v/>
      </c>
      <c r="J79" s="34" t="str">
        <f aca="false">IF($A79="","",SUM($H$5:H79))</f>
        <v/>
      </c>
      <c r="K79" s="36" t="str">
        <f aca="false">IF($A79="","",IF(H79&lt;-운용규칙!$B$9,"한도초과","OK"))</f>
        <v/>
      </c>
      <c r="L79" s="36" t="str">
        <f aca="false">IF($A79="","",COUNTIFS(매매일지!$B:$B,$A79,매매일지!$R:$R,"위반"))</f>
        <v/>
      </c>
    </row>
    <row r="80" customFormat="false" ht="15" hidden="false" customHeight="false" outlineLevel="0" collapsed="false">
      <c r="A80" s="29"/>
      <c r="B80" s="36" t="str">
        <f aca="false">IF($A80="","",COUNTIFS(매매일지!$B:$B,$A80))</f>
        <v/>
      </c>
      <c r="C80" s="34" t="str">
        <f aca="false">IF($A80="","",SUMIFS(매매일지!$L:$L,매매일지!$B:$B,$A80)-SUMIFS(매매일지!$K:$K,매매일지!$B:$B,$A80))</f>
        <v/>
      </c>
      <c r="D80" s="34" t="str">
        <f aca="false">IF($A80="","",SUMIFS(매매일지!$N:$N,매매일지!$B:$B,$A80))</f>
        <v/>
      </c>
      <c r="E80" s="42"/>
      <c r="F80" s="34" t="str">
        <f aca="false">IF($A80="","",C80-D80-N(E80))</f>
        <v/>
      </c>
      <c r="G80" s="34" t="str">
        <f aca="false">IF($A80="","",SUMIFS(재고!$I:$I,재고!$A:$A,$A80))</f>
        <v/>
      </c>
      <c r="H80" s="34" t="str">
        <f aca="false">IF($A80="","",F80+G80)</f>
        <v/>
      </c>
      <c r="I80" s="34" t="str">
        <f aca="false">IF($A80="","",SUM($F$5:F80))</f>
        <v/>
      </c>
      <c r="J80" s="34" t="str">
        <f aca="false">IF($A80="","",SUM($H$5:H80))</f>
        <v/>
      </c>
      <c r="K80" s="36" t="str">
        <f aca="false">IF($A80="","",IF(H80&lt;-운용규칙!$B$9,"한도초과","OK"))</f>
        <v/>
      </c>
      <c r="L80" s="36" t="str">
        <f aca="false">IF($A80="","",COUNTIFS(매매일지!$B:$B,$A80,매매일지!$R:$R,"위반"))</f>
        <v/>
      </c>
    </row>
    <row r="81" customFormat="false" ht="15" hidden="false" customHeight="false" outlineLevel="0" collapsed="false">
      <c r="A81" s="29"/>
      <c r="B81" s="36" t="str">
        <f aca="false">IF($A81="","",COUNTIFS(매매일지!$B:$B,$A81))</f>
        <v/>
      </c>
      <c r="C81" s="34" t="str">
        <f aca="false">IF($A81="","",SUMIFS(매매일지!$L:$L,매매일지!$B:$B,$A81)-SUMIFS(매매일지!$K:$K,매매일지!$B:$B,$A81))</f>
        <v/>
      </c>
      <c r="D81" s="34" t="str">
        <f aca="false">IF($A81="","",SUMIFS(매매일지!$N:$N,매매일지!$B:$B,$A81))</f>
        <v/>
      </c>
      <c r="E81" s="42"/>
      <c r="F81" s="34" t="str">
        <f aca="false">IF($A81="","",C81-D81-N(E81))</f>
        <v/>
      </c>
      <c r="G81" s="34" t="str">
        <f aca="false">IF($A81="","",SUMIFS(재고!$I:$I,재고!$A:$A,$A81))</f>
        <v/>
      </c>
      <c r="H81" s="34" t="str">
        <f aca="false">IF($A81="","",F81+G81)</f>
        <v/>
      </c>
      <c r="I81" s="34" t="str">
        <f aca="false">IF($A81="","",SUM($F$5:F81))</f>
        <v/>
      </c>
      <c r="J81" s="34" t="str">
        <f aca="false">IF($A81="","",SUM($H$5:H81))</f>
        <v/>
      </c>
      <c r="K81" s="36" t="str">
        <f aca="false">IF($A81="","",IF(H81&lt;-운용규칙!$B$9,"한도초과","OK"))</f>
        <v/>
      </c>
      <c r="L81" s="36" t="str">
        <f aca="false">IF($A81="","",COUNTIFS(매매일지!$B:$B,$A81,매매일지!$R:$R,"위반"))</f>
        <v/>
      </c>
    </row>
    <row r="82" customFormat="false" ht="15" hidden="false" customHeight="false" outlineLevel="0" collapsed="false">
      <c r="A82" s="29"/>
      <c r="B82" s="36" t="str">
        <f aca="false">IF($A82="","",COUNTIFS(매매일지!$B:$B,$A82))</f>
        <v/>
      </c>
      <c r="C82" s="34" t="str">
        <f aca="false">IF($A82="","",SUMIFS(매매일지!$L:$L,매매일지!$B:$B,$A82)-SUMIFS(매매일지!$K:$K,매매일지!$B:$B,$A82))</f>
        <v/>
      </c>
      <c r="D82" s="34" t="str">
        <f aca="false">IF($A82="","",SUMIFS(매매일지!$N:$N,매매일지!$B:$B,$A82))</f>
        <v/>
      </c>
      <c r="E82" s="42"/>
      <c r="F82" s="34" t="str">
        <f aca="false">IF($A82="","",C82-D82-N(E82))</f>
        <v/>
      </c>
      <c r="G82" s="34" t="str">
        <f aca="false">IF($A82="","",SUMIFS(재고!$I:$I,재고!$A:$A,$A82))</f>
        <v/>
      </c>
      <c r="H82" s="34" t="str">
        <f aca="false">IF($A82="","",F82+G82)</f>
        <v/>
      </c>
      <c r="I82" s="34" t="str">
        <f aca="false">IF($A82="","",SUM($F$5:F82))</f>
        <v/>
      </c>
      <c r="J82" s="34" t="str">
        <f aca="false">IF($A82="","",SUM($H$5:H82))</f>
        <v/>
      </c>
      <c r="K82" s="36" t="str">
        <f aca="false">IF($A82="","",IF(H82&lt;-운용규칙!$B$9,"한도초과","OK"))</f>
        <v/>
      </c>
      <c r="L82" s="36" t="str">
        <f aca="false">IF($A82="","",COUNTIFS(매매일지!$B:$B,$A82,매매일지!$R:$R,"위반"))</f>
        <v/>
      </c>
    </row>
    <row r="83" customFormat="false" ht="15" hidden="false" customHeight="false" outlineLevel="0" collapsed="false">
      <c r="A83" s="29"/>
      <c r="B83" s="36" t="str">
        <f aca="false">IF($A83="","",COUNTIFS(매매일지!$B:$B,$A83))</f>
        <v/>
      </c>
      <c r="C83" s="34" t="str">
        <f aca="false">IF($A83="","",SUMIFS(매매일지!$L:$L,매매일지!$B:$B,$A83)-SUMIFS(매매일지!$K:$K,매매일지!$B:$B,$A83))</f>
        <v/>
      </c>
      <c r="D83" s="34" t="str">
        <f aca="false">IF($A83="","",SUMIFS(매매일지!$N:$N,매매일지!$B:$B,$A83))</f>
        <v/>
      </c>
      <c r="E83" s="42"/>
      <c r="F83" s="34" t="str">
        <f aca="false">IF($A83="","",C83-D83-N(E83))</f>
        <v/>
      </c>
      <c r="G83" s="34" t="str">
        <f aca="false">IF($A83="","",SUMIFS(재고!$I:$I,재고!$A:$A,$A83))</f>
        <v/>
      </c>
      <c r="H83" s="34" t="str">
        <f aca="false">IF($A83="","",F83+G83)</f>
        <v/>
      </c>
      <c r="I83" s="34" t="str">
        <f aca="false">IF($A83="","",SUM($F$5:F83))</f>
        <v/>
      </c>
      <c r="J83" s="34" t="str">
        <f aca="false">IF($A83="","",SUM($H$5:H83))</f>
        <v/>
      </c>
      <c r="K83" s="36" t="str">
        <f aca="false">IF($A83="","",IF(H83&lt;-운용규칙!$B$9,"한도초과","OK"))</f>
        <v/>
      </c>
      <c r="L83" s="36" t="str">
        <f aca="false">IF($A83="","",COUNTIFS(매매일지!$B:$B,$A83,매매일지!$R:$R,"위반"))</f>
        <v/>
      </c>
    </row>
    <row r="84" customFormat="false" ht="15" hidden="false" customHeight="false" outlineLevel="0" collapsed="false">
      <c r="A84" s="29"/>
      <c r="B84" s="36" t="str">
        <f aca="false">IF($A84="","",COUNTIFS(매매일지!$B:$B,$A84))</f>
        <v/>
      </c>
      <c r="C84" s="34" t="str">
        <f aca="false">IF($A84="","",SUMIFS(매매일지!$L:$L,매매일지!$B:$B,$A84)-SUMIFS(매매일지!$K:$K,매매일지!$B:$B,$A84))</f>
        <v/>
      </c>
      <c r="D84" s="34" t="str">
        <f aca="false">IF($A84="","",SUMIFS(매매일지!$N:$N,매매일지!$B:$B,$A84))</f>
        <v/>
      </c>
      <c r="E84" s="42"/>
      <c r="F84" s="34" t="str">
        <f aca="false">IF($A84="","",C84-D84-N(E84))</f>
        <v/>
      </c>
      <c r="G84" s="34" t="str">
        <f aca="false">IF($A84="","",SUMIFS(재고!$I:$I,재고!$A:$A,$A84))</f>
        <v/>
      </c>
      <c r="H84" s="34" t="str">
        <f aca="false">IF($A84="","",F84+G84)</f>
        <v/>
      </c>
      <c r="I84" s="34" t="str">
        <f aca="false">IF($A84="","",SUM($F$5:F84))</f>
        <v/>
      </c>
      <c r="J84" s="34" t="str">
        <f aca="false">IF($A84="","",SUM($H$5:H84))</f>
        <v/>
      </c>
      <c r="K84" s="36" t="str">
        <f aca="false">IF($A84="","",IF(H84&lt;-운용규칙!$B$9,"한도초과","OK"))</f>
        <v/>
      </c>
      <c r="L84" s="36" t="str">
        <f aca="false">IF($A84="","",COUNTIFS(매매일지!$B:$B,$A84,매매일지!$R:$R,"위반"))</f>
        <v/>
      </c>
    </row>
    <row r="85" customFormat="false" ht="15" hidden="false" customHeight="false" outlineLevel="0" collapsed="false">
      <c r="A85" s="29"/>
      <c r="B85" s="36" t="str">
        <f aca="false">IF($A85="","",COUNTIFS(매매일지!$B:$B,$A85))</f>
        <v/>
      </c>
      <c r="C85" s="34" t="str">
        <f aca="false">IF($A85="","",SUMIFS(매매일지!$L:$L,매매일지!$B:$B,$A85)-SUMIFS(매매일지!$K:$K,매매일지!$B:$B,$A85))</f>
        <v/>
      </c>
      <c r="D85" s="34" t="str">
        <f aca="false">IF($A85="","",SUMIFS(매매일지!$N:$N,매매일지!$B:$B,$A85))</f>
        <v/>
      </c>
      <c r="E85" s="42"/>
      <c r="F85" s="34" t="str">
        <f aca="false">IF($A85="","",C85-D85-N(E85))</f>
        <v/>
      </c>
      <c r="G85" s="34" t="str">
        <f aca="false">IF($A85="","",SUMIFS(재고!$I:$I,재고!$A:$A,$A85))</f>
        <v/>
      </c>
      <c r="H85" s="34" t="str">
        <f aca="false">IF($A85="","",F85+G85)</f>
        <v/>
      </c>
      <c r="I85" s="34" t="str">
        <f aca="false">IF($A85="","",SUM($F$5:F85))</f>
        <v/>
      </c>
      <c r="J85" s="34" t="str">
        <f aca="false">IF($A85="","",SUM($H$5:H85))</f>
        <v/>
      </c>
      <c r="K85" s="36" t="str">
        <f aca="false">IF($A85="","",IF(H85&lt;-운용규칙!$B$9,"한도초과","OK"))</f>
        <v/>
      </c>
      <c r="L85" s="36" t="str">
        <f aca="false">IF($A85="","",COUNTIFS(매매일지!$B:$B,$A85,매매일지!$R:$R,"위반"))</f>
        <v/>
      </c>
    </row>
    <row r="86" customFormat="false" ht="15" hidden="false" customHeight="false" outlineLevel="0" collapsed="false">
      <c r="A86" s="29"/>
      <c r="B86" s="36" t="str">
        <f aca="false">IF($A86="","",COUNTIFS(매매일지!$B:$B,$A86))</f>
        <v/>
      </c>
      <c r="C86" s="34" t="str">
        <f aca="false">IF($A86="","",SUMIFS(매매일지!$L:$L,매매일지!$B:$B,$A86)-SUMIFS(매매일지!$K:$K,매매일지!$B:$B,$A86))</f>
        <v/>
      </c>
      <c r="D86" s="34" t="str">
        <f aca="false">IF($A86="","",SUMIFS(매매일지!$N:$N,매매일지!$B:$B,$A86))</f>
        <v/>
      </c>
      <c r="E86" s="42"/>
      <c r="F86" s="34" t="str">
        <f aca="false">IF($A86="","",C86-D86-N(E86))</f>
        <v/>
      </c>
      <c r="G86" s="34" t="str">
        <f aca="false">IF($A86="","",SUMIFS(재고!$I:$I,재고!$A:$A,$A86))</f>
        <v/>
      </c>
      <c r="H86" s="34" t="str">
        <f aca="false">IF($A86="","",F86+G86)</f>
        <v/>
      </c>
      <c r="I86" s="34" t="str">
        <f aca="false">IF($A86="","",SUM($F$5:F86))</f>
        <v/>
      </c>
      <c r="J86" s="34" t="str">
        <f aca="false">IF($A86="","",SUM($H$5:H86))</f>
        <v/>
      </c>
      <c r="K86" s="36" t="str">
        <f aca="false">IF($A86="","",IF(H86&lt;-운용규칙!$B$9,"한도초과","OK"))</f>
        <v/>
      </c>
      <c r="L86" s="36" t="str">
        <f aca="false">IF($A86="","",COUNTIFS(매매일지!$B:$B,$A86,매매일지!$R:$R,"위반"))</f>
        <v/>
      </c>
    </row>
    <row r="87" customFormat="false" ht="15" hidden="false" customHeight="false" outlineLevel="0" collapsed="false">
      <c r="A87" s="29"/>
      <c r="B87" s="36" t="str">
        <f aca="false">IF($A87="","",COUNTIFS(매매일지!$B:$B,$A87))</f>
        <v/>
      </c>
      <c r="C87" s="34" t="str">
        <f aca="false">IF($A87="","",SUMIFS(매매일지!$L:$L,매매일지!$B:$B,$A87)-SUMIFS(매매일지!$K:$K,매매일지!$B:$B,$A87))</f>
        <v/>
      </c>
      <c r="D87" s="34" t="str">
        <f aca="false">IF($A87="","",SUMIFS(매매일지!$N:$N,매매일지!$B:$B,$A87))</f>
        <v/>
      </c>
      <c r="E87" s="42"/>
      <c r="F87" s="34" t="str">
        <f aca="false">IF($A87="","",C87-D87-N(E87))</f>
        <v/>
      </c>
      <c r="G87" s="34" t="str">
        <f aca="false">IF($A87="","",SUMIFS(재고!$I:$I,재고!$A:$A,$A87))</f>
        <v/>
      </c>
      <c r="H87" s="34" t="str">
        <f aca="false">IF($A87="","",F87+G87)</f>
        <v/>
      </c>
      <c r="I87" s="34" t="str">
        <f aca="false">IF($A87="","",SUM($F$5:F87))</f>
        <v/>
      </c>
      <c r="J87" s="34" t="str">
        <f aca="false">IF($A87="","",SUM($H$5:H87))</f>
        <v/>
      </c>
      <c r="K87" s="36" t="str">
        <f aca="false">IF($A87="","",IF(H87&lt;-운용규칙!$B$9,"한도초과","OK"))</f>
        <v/>
      </c>
      <c r="L87" s="36" t="str">
        <f aca="false">IF($A87="","",COUNTIFS(매매일지!$B:$B,$A87,매매일지!$R:$R,"위반"))</f>
        <v/>
      </c>
    </row>
    <row r="88" customFormat="false" ht="15" hidden="false" customHeight="false" outlineLevel="0" collapsed="false">
      <c r="A88" s="29"/>
      <c r="B88" s="36" t="str">
        <f aca="false">IF($A88="","",COUNTIFS(매매일지!$B:$B,$A88))</f>
        <v/>
      </c>
      <c r="C88" s="34" t="str">
        <f aca="false">IF($A88="","",SUMIFS(매매일지!$L:$L,매매일지!$B:$B,$A88)-SUMIFS(매매일지!$K:$K,매매일지!$B:$B,$A88))</f>
        <v/>
      </c>
      <c r="D88" s="34" t="str">
        <f aca="false">IF($A88="","",SUMIFS(매매일지!$N:$N,매매일지!$B:$B,$A88))</f>
        <v/>
      </c>
      <c r="E88" s="42"/>
      <c r="F88" s="34" t="str">
        <f aca="false">IF($A88="","",C88-D88-N(E88))</f>
        <v/>
      </c>
      <c r="G88" s="34" t="str">
        <f aca="false">IF($A88="","",SUMIFS(재고!$I:$I,재고!$A:$A,$A88))</f>
        <v/>
      </c>
      <c r="H88" s="34" t="str">
        <f aca="false">IF($A88="","",F88+G88)</f>
        <v/>
      </c>
      <c r="I88" s="34" t="str">
        <f aca="false">IF($A88="","",SUM($F$5:F88))</f>
        <v/>
      </c>
      <c r="J88" s="34" t="str">
        <f aca="false">IF($A88="","",SUM($H$5:H88))</f>
        <v/>
      </c>
      <c r="K88" s="36" t="str">
        <f aca="false">IF($A88="","",IF(H88&lt;-운용규칙!$B$9,"한도초과","OK"))</f>
        <v/>
      </c>
      <c r="L88" s="36" t="str">
        <f aca="false">IF($A88="","",COUNTIFS(매매일지!$B:$B,$A88,매매일지!$R:$R,"위반"))</f>
        <v/>
      </c>
    </row>
    <row r="89" customFormat="false" ht="15" hidden="false" customHeight="false" outlineLevel="0" collapsed="false">
      <c r="A89" s="29"/>
      <c r="B89" s="36" t="str">
        <f aca="false">IF($A89="","",COUNTIFS(매매일지!$B:$B,$A89))</f>
        <v/>
      </c>
      <c r="C89" s="34" t="str">
        <f aca="false">IF($A89="","",SUMIFS(매매일지!$L:$L,매매일지!$B:$B,$A89)-SUMIFS(매매일지!$K:$K,매매일지!$B:$B,$A89))</f>
        <v/>
      </c>
      <c r="D89" s="34" t="str">
        <f aca="false">IF($A89="","",SUMIFS(매매일지!$N:$N,매매일지!$B:$B,$A89))</f>
        <v/>
      </c>
      <c r="E89" s="42"/>
      <c r="F89" s="34" t="str">
        <f aca="false">IF($A89="","",C89-D89-N(E89))</f>
        <v/>
      </c>
      <c r="G89" s="34" t="str">
        <f aca="false">IF($A89="","",SUMIFS(재고!$I:$I,재고!$A:$A,$A89))</f>
        <v/>
      </c>
      <c r="H89" s="34" t="str">
        <f aca="false">IF($A89="","",F89+G89)</f>
        <v/>
      </c>
      <c r="I89" s="34" t="str">
        <f aca="false">IF($A89="","",SUM($F$5:F89))</f>
        <v/>
      </c>
      <c r="J89" s="34" t="str">
        <f aca="false">IF($A89="","",SUM($H$5:H89))</f>
        <v/>
      </c>
      <c r="K89" s="36" t="str">
        <f aca="false">IF($A89="","",IF(H89&lt;-운용규칙!$B$9,"한도초과","OK"))</f>
        <v/>
      </c>
      <c r="L89" s="36" t="str">
        <f aca="false">IF($A89="","",COUNTIFS(매매일지!$B:$B,$A89,매매일지!$R:$R,"위반"))</f>
        <v/>
      </c>
    </row>
    <row r="90" customFormat="false" ht="15" hidden="false" customHeight="false" outlineLevel="0" collapsed="false">
      <c r="A90" s="29"/>
      <c r="B90" s="36" t="str">
        <f aca="false">IF($A90="","",COUNTIFS(매매일지!$B:$B,$A90))</f>
        <v/>
      </c>
      <c r="C90" s="34" t="str">
        <f aca="false">IF($A90="","",SUMIFS(매매일지!$L:$L,매매일지!$B:$B,$A90)-SUMIFS(매매일지!$K:$K,매매일지!$B:$B,$A90))</f>
        <v/>
      </c>
      <c r="D90" s="34" t="str">
        <f aca="false">IF($A90="","",SUMIFS(매매일지!$N:$N,매매일지!$B:$B,$A90))</f>
        <v/>
      </c>
      <c r="E90" s="42"/>
      <c r="F90" s="34" t="str">
        <f aca="false">IF($A90="","",C90-D90-N(E90))</f>
        <v/>
      </c>
      <c r="G90" s="34" t="str">
        <f aca="false">IF($A90="","",SUMIFS(재고!$I:$I,재고!$A:$A,$A90))</f>
        <v/>
      </c>
      <c r="H90" s="34" t="str">
        <f aca="false">IF($A90="","",F90+G90)</f>
        <v/>
      </c>
      <c r="I90" s="34" t="str">
        <f aca="false">IF($A90="","",SUM($F$5:F90))</f>
        <v/>
      </c>
      <c r="J90" s="34" t="str">
        <f aca="false">IF($A90="","",SUM($H$5:H90))</f>
        <v/>
      </c>
      <c r="K90" s="36" t="str">
        <f aca="false">IF($A90="","",IF(H90&lt;-운용규칙!$B$9,"한도초과","OK"))</f>
        <v/>
      </c>
      <c r="L90" s="36" t="str">
        <f aca="false">IF($A90="","",COUNTIFS(매매일지!$B:$B,$A90,매매일지!$R:$R,"위반"))</f>
        <v/>
      </c>
    </row>
    <row r="91" customFormat="false" ht="15" hidden="false" customHeight="false" outlineLevel="0" collapsed="false">
      <c r="A91" s="29"/>
      <c r="B91" s="36" t="str">
        <f aca="false">IF($A91="","",COUNTIFS(매매일지!$B:$B,$A91))</f>
        <v/>
      </c>
      <c r="C91" s="34" t="str">
        <f aca="false">IF($A91="","",SUMIFS(매매일지!$L:$L,매매일지!$B:$B,$A91)-SUMIFS(매매일지!$K:$K,매매일지!$B:$B,$A91))</f>
        <v/>
      </c>
      <c r="D91" s="34" t="str">
        <f aca="false">IF($A91="","",SUMIFS(매매일지!$N:$N,매매일지!$B:$B,$A91))</f>
        <v/>
      </c>
      <c r="E91" s="42"/>
      <c r="F91" s="34" t="str">
        <f aca="false">IF($A91="","",C91-D91-N(E91))</f>
        <v/>
      </c>
      <c r="G91" s="34" t="str">
        <f aca="false">IF($A91="","",SUMIFS(재고!$I:$I,재고!$A:$A,$A91))</f>
        <v/>
      </c>
      <c r="H91" s="34" t="str">
        <f aca="false">IF($A91="","",F91+G91)</f>
        <v/>
      </c>
      <c r="I91" s="34" t="str">
        <f aca="false">IF($A91="","",SUM($F$5:F91))</f>
        <v/>
      </c>
      <c r="J91" s="34" t="str">
        <f aca="false">IF($A91="","",SUM($H$5:H91))</f>
        <v/>
      </c>
      <c r="K91" s="36" t="str">
        <f aca="false">IF($A91="","",IF(H91&lt;-운용규칙!$B$9,"한도초과","OK"))</f>
        <v/>
      </c>
      <c r="L91" s="36" t="str">
        <f aca="false">IF($A91="","",COUNTIFS(매매일지!$B:$B,$A91,매매일지!$R:$R,"위반"))</f>
        <v/>
      </c>
    </row>
    <row r="92" customFormat="false" ht="15" hidden="false" customHeight="false" outlineLevel="0" collapsed="false">
      <c r="A92" s="29"/>
      <c r="B92" s="36" t="str">
        <f aca="false">IF($A92="","",COUNTIFS(매매일지!$B:$B,$A92))</f>
        <v/>
      </c>
      <c r="C92" s="34" t="str">
        <f aca="false">IF($A92="","",SUMIFS(매매일지!$L:$L,매매일지!$B:$B,$A92)-SUMIFS(매매일지!$K:$K,매매일지!$B:$B,$A92))</f>
        <v/>
      </c>
      <c r="D92" s="34" t="str">
        <f aca="false">IF($A92="","",SUMIFS(매매일지!$N:$N,매매일지!$B:$B,$A92))</f>
        <v/>
      </c>
      <c r="E92" s="42"/>
      <c r="F92" s="34" t="str">
        <f aca="false">IF($A92="","",C92-D92-N(E92))</f>
        <v/>
      </c>
      <c r="G92" s="34" t="str">
        <f aca="false">IF($A92="","",SUMIFS(재고!$I:$I,재고!$A:$A,$A92))</f>
        <v/>
      </c>
      <c r="H92" s="34" t="str">
        <f aca="false">IF($A92="","",F92+G92)</f>
        <v/>
      </c>
      <c r="I92" s="34" t="str">
        <f aca="false">IF($A92="","",SUM($F$5:F92))</f>
        <v/>
      </c>
      <c r="J92" s="34" t="str">
        <f aca="false">IF($A92="","",SUM($H$5:H92))</f>
        <v/>
      </c>
      <c r="K92" s="36" t="str">
        <f aca="false">IF($A92="","",IF(H92&lt;-운용규칙!$B$9,"한도초과","OK"))</f>
        <v/>
      </c>
      <c r="L92" s="36" t="str">
        <f aca="false">IF($A92="","",COUNTIFS(매매일지!$B:$B,$A92,매매일지!$R:$R,"위반"))</f>
        <v/>
      </c>
    </row>
    <row r="93" customFormat="false" ht="15" hidden="false" customHeight="false" outlineLevel="0" collapsed="false">
      <c r="A93" s="29"/>
      <c r="B93" s="36" t="str">
        <f aca="false">IF($A93="","",COUNTIFS(매매일지!$B:$B,$A93))</f>
        <v/>
      </c>
      <c r="C93" s="34" t="str">
        <f aca="false">IF($A93="","",SUMIFS(매매일지!$L:$L,매매일지!$B:$B,$A93)-SUMIFS(매매일지!$K:$K,매매일지!$B:$B,$A93))</f>
        <v/>
      </c>
      <c r="D93" s="34" t="str">
        <f aca="false">IF($A93="","",SUMIFS(매매일지!$N:$N,매매일지!$B:$B,$A93))</f>
        <v/>
      </c>
      <c r="E93" s="42"/>
      <c r="F93" s="34" t="str">
        <f aca="false">IF($A93="","",C93-D93-N(E93))</f>
        <v/>
      </c>
      <c r="G93" s="34" t="str">
        <f aca="false">IF($A93="","",SUMIFS(재고!$I:$I,재고!$A:$A,$A93))</f>
        <v/>
      </c>
      <c r="H93" s="34" t="str">
        <f aca="false">IF($A93="","",F93+G93)</f>
        <v/>
      </c>
      <c r="I93" s="34" t="str">
        <f aca="false">IF($A93="","",SUM($F$5:F93))</f>
        <v/>
      </c>
      <c r="J93" s="34" t="str">
        <f aca="false">IF($A93="","",SUM($H$5:H93))</f>
        <v/>
      </c>
      <c r="K93" s="36" t="str">
        <f aca="false">IF($A93="","",IF(H93&lt;-운용규칙!$B$9,"한도초과","OK"))</f>
        <v/>
      </c>
      <c r="L93" s="36" t="str">
        <f aca="false">IF($A93="","",COUNTIFS(매매일지!$B:$B,$A93,매매일지!$R:$R,"위반"))</f>
        <v/>
      </c>
    </row>
    <row r="94" customFormat="false" ht="15" hidden="false" customHeight="false" outlineLevel="0" collapsed="false">
      <c r="A94" s="29"/>
      <c r="B94" s="36" t="str">
        <f aca="false">IF($A94="","",COUNTIFS(매매일지!$B:$B,$A94))</f>
        <v/>
      </c>
      <c r="C94" s="34" t="str">
        <f aca="false">IF($A94="","",SUMIFS(매매일지!$L:$L,매매일지!$B:$B,$A94)-SUMIFS(매매일지!$K:$K,매매일지!$B:$B,$A94))</f>
        <v/>
      </c>
      <c r="D94" s="34" t="str">
        <f aca="false">IF($A94="","",SUMIFS(매매일지!$N:$N,매매일지!$B:$B,$A94))</f>
        <v/>
      </c>
      <c r="E94" s="42"/>
      <c r="F94" s="34" t="str">
        <f aca="false">IF($A94="","",C94-D94-N(E94))</f>
        <v/>
      </c>
      <c r="G94" s="34" t="str">
        <f aca="false">IF($A94="","",SUMIFS(재고!$I:$I,재고!$A:$A,$A94))</f>
        <v/>
      </c>
      <c r="H94" s="34" t="str">
        <f aca="false">IF($A94="","",F94+G94)</f>
        <v/>
      </c>
      <c r="I94" s="34" t="str">
        <f aca="false">IF($A94="","",SUM($F$5:F94))</f>
        <v/>
      </c>
      <c r="J94" s="34" t="str">
        <f aca="false">IF($A94="","",SUM($H$5:H94))</f>
        <v/>
      </c>
      <c r="K94" s="36" t="str">
        <f aca="false">IF($A94="","",IF(H94&lt;-운용규칙!$B$9,"한도초과","OK"))</f>
        <v/>
      </c>
      <c r="L94" s="36" t="str">
        <f aca="false">IF($A94="","",COUNTIFS(매매일지!$B:$B,$A94,매매일지!$R:$R,"위반"))</f>
        <v/>
      </c>
    </row>
    <row r="95" customFormat="false" ht="15" hidden="false" customHeight="false" outlineLevel="0" collapsed="false">
      <c r="A95" s="29"/>
      <c r="B95" s="36" t="str">
        <f aca="false">IF($A95="","",COUNTIFS(매매일지!$B:$B,$A95))</f>
        <v/>
      </c>
      <c r="C95" s="34" t="str">
        <f aca="false">IF($A95="","",SUMIFS(매매일지!$L:$L,매매일지!$B:$B,$A95)-SUMIFS(매매일지!$K:$K,매매일지!$B:$B,$A95))</f>
        <v/>
      </c>
      <c r="D95" s="34" t="str">
        <f aca="false">IF($A95="","",SUMIFS(매매일지!$N:$N,매매일지!$B:$B,$A95))</f>
        <v/>
      </c>
      <c r="E95" s="42"/>
      <c r="F95" s="34" t="str">
        <f aca="false">IF($A95="","",C95-D95-N(E95))</f>
        <v/>
      </c>
      <c r="G95" s="34" t="str">
        <f aca="false">IF($A95="","",SUMIFS(재고!$I:$I,재고!$A:$A,$A95))</f>
        <v/>
      </c>
      <c r="H95" s="34" t="str">
        <f aca="false">IF($A95="","",F95+G95)</f>
        <v/>
      </c>
      <c r="I95" s="34" t="str">
        <f aca="false">IF($A95="","",SUM($F$5:F95))</f>
        <v/>
      </c>
      <c r="J95" s="34" t="str">
        <f aca="false">IF($A95="","",SUM($H$5:H95))</f>
        <v/>
      </c>
      <c r="K95" s="36" t="str">
        <f aca="false">IF($A95="","",IF(H95&lt;-운용규칙!$B$9,"한도초과","OK"))</f>
        <v/>
      </c>
      <c r="L95" s="36" t="str">
        <f aca="false">IF($A95="","",COUNTIFS(매매일지!$B:$B,$A95,매매일지!$R:$R,"위반"))</f>
        <v/>
      </c>
    </row>
    <row r="96" customFormat="false" ht="15" hidden="false" customHeight="false" outlineLevel="0" collapsed="false">
      <c r="A96" s="29"/>
      <c r="B96" s="36" t="str">
        <f aca="false">IF($A96="","",COUNTIFS(매매일지!$B:$B,$A96))</f>
        <v/>
      </c>
      <c r="C96" s="34" t="str">
        <f aca="false">IF($A96="","",SUMIFS(매매일지!$L:$L,매매일지!$B:$B,$A96)-SUMIFS(매매일지!$K:$K,매매일지!$B:$B,$A96))</f>
        <v/>
      </c>
      <c r="D96" s="34" t="str">
        <f aca="false">IF($A96="","",SUMIFS(매매일지!$N:$N,매매일지!$B:$B,$A96))</f>
        <v/>
      </c>
      <c r="E96" s="42"/>
      <c r="F96" s="34" t="str">
        <f aca="false">IF($A96="","",C96-D96-N(E96))</f>
        <v/>
      </c>
      <c r="G96" s="34" t="str">
        <f aca="false">IF($A96="","",SUMIFS(재고!$I:$I,재고!$A:$A,$A96))</f>
        <v/>
      </c>
      <c r="H96" s="34" t="str">
        <f aca="false">IF($A96="","",F96+G96)</f>
        <v/>
      </c>
      <c r="I96" s="34" t="str">
        <f aca="false">IF($A96="","",SUM($F$5:F96))</f>
        <v/>
      </c>
      <c r="J96" s="34" t="str">
        <f aca="false">IF($A96="","",SUM($H$5:H96))</f>
        <v/>
      </c>
      <c r="K96" s="36" t="str">
        <f aca="false">IF($A96="","",IF(H96&lt;-운용규칙!$B$9,"한도초과","OK"))</f>
        <v/>
      </c>
      <c r="L96" s="36" t="str">
        <f aca="false">IF($A96="","",COUNTIFS(매매일지!$B:$B,$A96,매매일지!$R:$R,"위반"))</f>
        <v/>
      </c>
    </row>
    <row r="97" customFormat="false" ht="15" hidden="false" customHeight="false" outlineLevel="0" collapsed="false">
      <c r="A97" s="29"/>
      <c r="B97" s="36" t="str">
        <f aca="false">IF($A97="","",COUNTIFS(매매일지!$B:$B,$A97))</f>
        <v/>
      </c>
      <c r="C97" s="34" t="str">
        <f aca="false">IF($A97="","",SUMIFS(매매일지!$L:$L,매매일지!$B:$B,$A97)-SUMIFS(매매일지!$K:$K,매매일지!$B:$B,$A97))</f>
        <v/>
      </c>
      <c r="D97" s="34" t="str">
        <f aca="false">IF($A97="","",SUMIFS(매매일지!$N:$N,매매일지!$B:$B,$A97))</f>
        <v/>
      </c>
      <c r="E97" s="42"/>
      <c r="F97" s="34" t="str">
        <f aca="false">IF($A97="","",C97-D97-N(E97))</f>
        <v/>
      </c>
      <c r="G97" s="34" t="str">
        <f aca="false">IF($A97="","",SUMIFS(재고!$I:$I,재고!$A:$A,$A97))</f>
        <v/>
      </c>
      <c r="H97" s="34" t="str">
        <f aca="false">IF($A97="","",F97+G97)</f>
        <v/>
      </c>
      <c r="I97" s="34" t="str">
        <f aca="false">IF($A97="","",SUM($F$5:F97))</f>
        <v/>
      </c>
      <c r="J97" s="34" t="str">
        <f aca="false">IF($A97="","",SUM($H$5:H97))</f>
        <v/>
      </c>
      <c r="K97" s="36" t="str">
        <f aca="false">IF($A97="","",IF(H97&lt;-운용규칙!$B$9,"한도초과","OK"))</f>
        <v/>
      </c>
      <c r="L97" s="36" t="str">
        <f aca="false">IF($A97="","",COUNTIFS(매매일지!$B:$B,$A97,매매일지!$R:$R,"위반"))</f>
        <v/>
      </c>
    </row>
    <row r="98" customFormat="false" ht="15" hidden="false" customHeight="false" outlineLevel="0" collapsed="false">
      <c r="A98" s="29"/>
      <c r="B98" s="36" t="str">
        <f aca="false">IF($A98="","",COUNTIFS(매매일지!$B:$B,$A98))</f>
        <v/>
      </c>
      <c r="C98" s="34" t="str">
        <f aca="false">IF($A98="","",SUMIFS(매매일지!$L:$L,매매일지!$B:$B,$A98)-SUMIFS(매매일지!$K:$K,매매일지!$B:$B,$A98))</f>
        <v/>
      </c>
      <c r="D98" s="34" t="str">
        <f aca="false">IF($A98="","",SUMIFS(매매일지!$N:$N,매매일지!$B:$B,$A98))</f>
        <v/>
      </c>
      <c r="E98" s="42"/>
      <c r="F98" s="34" t="str">
        <f aca="false">IF($A98="","",C98-D98-N(E98))</f>
        <v/>
      </c>
      <c r="G98" s="34" t="str">
        <f aca="false">IF($A98="","",SUMIFS(재고!$I:$I,재고!$A:$A,$A98))</f>
        <v/>
      </c>
      <c r="H98" s="34" t="str">
        <f aca="false">IF($A98="","",F98+G98)</f>
        <v/>
      </c>
      <c r="I98" s="34" t="str">
        <f aca="false">IF($A98="","",SUM($F$5:F98))</f>
        <v/>
      </c>
      <c r="J98" s="34" t="str">
        <f aca="false">IF($A98="","",SUM($H$5:H98))</f>
        <v/>
      </c>
      <c r="K98" s="36" t="str">
        <f aca="false">IF($A98="","",IF(H98&lt;-운용규칙!$B$9,"한도초과","OK"))</f>
        <v/>
      </c>
      <c r="L98" s="36" t="str">
        <f aca="false">IF($A98="","",COUNTIFS(매매일지!$B:$B,$A98,매매일지!$R:$R,"위반"))</f>
        <v/>
      </c>
    </row>
    <row r="99" customFormat="false" ht="15" hidden="false" customHeight="false" outlineLevel="0" collapsed="false">
      <c r="A99" s="29"/>
      <c r="B99" s="36" t="str">
        <f aca="false">IF($A99="","",COUNTIFS(매매일지!$B:$B,$A99))</f>
        <v/>
      </c>
      <c r="C99" s="34" t="str">
        <f aca="false">IF($A99="","",SUMIFS(매매일지!$L:$L,매매일지!$B:$B,$A99)-SUMIFS(매매일지!$K:$K,매매일지!$B:$B,$A99))</f>
        <v/>
      </c>
      <c r="D99" s="34" t="str">
        <f aca="false">IF($A99="","",SUMIFS(매매일지!$N:$N,매매일지!$B:$B,$A99))</f>
        <v/>
      </c>
      <c r="E99" s="42"/>
      <c r="F99" s="34" t="str">
        <f aca="false">IF($A99="","",C99-D99-N(E99))</f>
        <v/>
      </c>
      <c r="G99" s="34" t="str">
        <f aca="false">IF($A99="","",SUMIFS(재고!$I:$I,재고!$A:$A,$A99))</f>
        <v/>
      </c>
      <c r="H99" s="34" t="str">
        <f aca="false">IF($A99="","",F99+G99)</f>
        <v/>
      </c>
      <c r="I99" s="34" t="str">
        <f aca="false">IF($A99="","",SUM($F$5:F99))</f>
        <v/>
      </c>
      <c r="J99" s="34" t="str">
        <f aca="false">IF($A99="","",SUM($H$5:H99))</f>
        <v/>
      </c>
      <c r="K99" s="36" t="str">
        <f aca="false">IF($A99="","",IF(H99&lt;-운용규칙!$B$9,"한도초과","OK"))</f>
        <v/>
      </c>
      <c r="L99" s="36" t="str">
        <f aca="false">IF($A99="","",COUNTIFS(매매일지!$B:$B,$A99,매매일지!$R:$R,"위반"))</f>
        <v/>
      </c>
    </row>
    <row r="100" customFormat="false" ht="15" hidden="false" customHeight="false" outlineLevel="0" collapsed="false">
      <c r="A100" s="29"/>
      <c r="B100" s="36" t="str">
        <f aca="false">IF($A100="","",COUNTIFS(매매일지!$B:$B,$A100))</f>
        <v/>
      </c>
      <c r="C100" s="34" t="str">
        <f aca="false">IF($A100="","",SUMIFS(매매일지!$L:$L,매매일지!$B:$B,$A100)-SUMIFS(매매일지!$K:$K,매매일지!$B:$B,$A100))</f>
        <v/>
      </c>
      <c r="D100" s="34" t="str">
        <f aca="false">IF($A100="","",SUMIFS(매매일지!$N:$N,매매일지!$B:$B,$A100))</f>
        <v/>
      </c>
      <c r="E100" s="42"/>
      <c r="F100" s="34" t="str">
        <f aca="false">IF($A100="","",C100-D100-N(E100))</f>
        <v/>
      </c>
      <c r="G100" s="34" t="str">
        <f aca="false">IF($A100="","",SUMIFS(재고!$I:$I,재고!$A:$A,$A100))</f>
        <v/>
      </c>
      <c r="H100" s="34" t="str">
        <f aca="false">IF($A100="","",F100+G100)</f>
        <v/>
      </c>
      <c r="I100" s="34" t="str">
        <f aca="false">IF($A100="","",SUM($F$5:F100))</f>
        <v/>
      </c>
      <c r="J100" s="34" t="str">
        <f aca="false">IF($A100="","",SUM($H$5:H100))</f>
        <v/>
      </c>
      <c r="K100" s="36" t="str">
        <f aca="false">IF($A100="","",IF(H100&lt;-운용규칙!$B$9,"한도초과","OK"))</f>
        <v/>
      </c>
      <c r="L100" s="36" t="str">
        <f aca="false">IF($A100="","",COUNTIFS(매매일지!$B:$B,$A100,매매일지!$R:$R,"위반"))</f>
        <v/>
      </c>
    </row>
    <row r="101" customFormat="false" ht="15" hidden="false" customHeight="false" outlineLevel="0" collapsed="false">
      <c r="A101" s="29"/>
      <c r="B101" s="36" t="str">
        <f aca="false">IF($A101="","",COUNTIFS(매매일지!$B:$B,$A101))</f>
        <v/>
      </c>
      <c r="C101" s="34" t="str">
        <f aca="false">IF($A101="","",SUMIFS(매매일지!$L:$L,매매일지!$B:$B,$A101)-SUMIFS(매매일지!$K:$K,매매일지!$B:$B,$A101))</f>
        <v/>
      </c>
      <c r="D101" s="34" t="str">
        <f aca="false">IF($A101="","",SUMIFS(매매일지!$N:$N,매매일지!$B:$B,$A101))</f>
        <v/>
      </c>
      <c r="E101" s="42"/>
      <c r="F101" s="34" t="str">
        <f aca="false">IF($A101="","",C101-D101-N(E101))</f>
        <v/>
      </c>
      <c r="G101" s="34" t="str">
        <f aca="false">IF($A101="","",SUMIFS(재고!$I:$I,재고!$A:$A,$A101))</f>
        <v/>
      </c>
      <c r="H101" s="34" t="str">
        <f aca="false">IF($A101="","",F101+G101)</f>
        <v/>
      </c>
      <c r="I101" s="34" t="str">
        <f aca="false">IF($A101="","",SUM($F$5:F101))</f>
        <v/>
      </c>
      <c r="J101" s="34" t="str">
        <f aca="false">IF($A101="","",SUM($H$5:H101))</f>
        <v/>
      </c>
      <c r="K101" s="36" t="str">
        <f aca="false">IF($A101="","",IF(H101&lt;-운용규칙!$B$9,"한도초과","OK"))</f>
        <v/>
      </c>
      <c r="L101" s="36" t="str">
        <f aca="false">IF($A101="","",COUNTIFS(매매일지!$B:$B,$A101,매매일지!$R:$R,"위반"))</f>
        <v/>
      </c>
    </row>
    <row r="102" customFormat="false" ht="15" hidden="false" customHeight="false" outlineLevel="0" collapsed="false">
      <c r="A102" s="29"/>
      <c r="B102" s="36" t="str">
        <f aca="false">IF($A102="","",COUNTIFS(매매일지!$B:$B,$A102))</f>
        <v/>
      </c>
      <c r="C102" s="34" t="str">
        <f aca="false">IF($A102="","",SUMIFS(매매일지!$L:$L,매매일지!$B:$B,$A102)-SUMIFS(매매일지!$K:$K,매매일지!$B:$B,$A102))</f>
        <v/>
      </c>
      <c r="D102" s="34" t="str">
        <f aca="false">IF($A102="","",SUMIFS(매매일지!$N:$N,매매일지!$B:$B,$A102))</f>
        <v/>
      </c>
      <c r="E102" s="42"/>
      <c r="F102" s="34" t="str">
        <f aca="false">IF($A102="","",C102-D102-N(E102))</f>
        <v/>
      </c>
      <c r="G102" s="34" t="str">
        <f aca="false">IF($A102="","",SUMIFS(재고!$I:$I,재고!$A:$A,$A102))</f>
        <v/>
      </c>
      <c r="H102" s="34" t="str">
        <f aca="false">IF($A102="","",F102+G102)</f>
        <v/>
      </c>
      <c r="I102" s="34" t="str">
        <f aca="false">IF($A102="","",SUM($F$5:F102))</f>
        <v/>
      </c>
      <c r="J102" s="34" t="str">
        <f aca="false">IF($A102="","",SUM($H$5:H102))</f>
        <v/>
      </c>
      <c r="K102" s="36" t="str">
        <f aca="false">IF($A102="","",IF(H102&lt;-운용규칙!$B$9,"한도초과","OK"))</f>
        <v/>
      </c>
      <c r="L102" s="36" t="str">
        <f aca="false">IF($A102="","",COUNTIFS(매매일지!$B:$B,$A102,매매일지!$R:$R,"위반"))</f>
        <v/>
      </c>
    </row>
    <row r="103" customFormat="false" ht="15" hidden="false" customHeight="false" outlineLevel="0" collapsed="false">
      <c r="A103" s="29"/>
      <c r="B103" s="36" t="str">
        <f aca="false">IF($A103="","",COUNTIFS(매매일지!$B:$B,$A103))</f>
        <v/>
      </c>
      <c r="C103" s="34" t="str">
        <f aca="false">IF($A103="","",SUMIFS(매매일지!$L:$L,매매일지!$B:$B,$A103)-SUMIFS(매매일지!$K:$K,매매일지!$B:$B,$A103))</f>
        <v/>
      </c>
      <c r="D103" s="34" t="str">
        <f aca="false">IF($A103="","",SUMIFS(매매일지!$N:$N,매매일지!$B:$B,$A103))</f>
        <v/>
      </c>
      <c r="E103" s="42"/>
      <c r="F103" s="34" t="str">
        <f aca="false">IF($A103="","",C103-D103-N(E103))</f>
        <v/>
      </c>
      <c r="G103" s="34" t="str">
        <f aca="false">IF($A103="","",SUMIFS(재고!$I:$I,재고!$A:$A,$A103))</f>
        <v/>
      </c>
      <c r="H103" s="34" t="str">
        <f aca="false">IF($A103="","",F103+G103)</f>
        <v/>
      </c>
      <c r="I103" s="34" t="str">
        <f aca="false">IF($A103="","",SUM($F$5:F103))</f>
        <v/>
      </c>
      <c r="J103" s="34" t="str">
        <f aca="false">IF($A103="","",SUM($H$5:H103))</f>
        <v/>
      </c>
      <c r="K103" s="36" t="str">
        <f aca="false">IF($A103="","",IF(H103&lt;-운용규칙!$B$9,"한도초과","OK"))</f>
        <v/>
      </c>
      <c r="L103" s="36" t="str">
        <f aca="false">IF($A103="","",COUNTIFS(매매일지!$B:$B,$A103,매매일지!$R:$R,"위반"))</f>
        <v/>
      </c>
    </row>
    <row r="104" customFormat="false" ht="15" hidden="false" customHeight="false" outlineLevel="0" collapsed="false">
      <c r="A104" s="29"/>
      <c r="B104" s="36" t="str">
        <f aca="false">IF($A104="","",COUNTIFS(매매일지!$B:$B,$A104))</f>
        <v/>
      </c>
      <c r="C104" s="34" t="str">
        <f aca="false">IF($A104="","",SUMIFS(매매일지!$L:$L,매매일지!$B:$B,$A104)-SUMIFS(매매일지!$K:$K,매매일지!$B:$B,$A104))</f>
        <v/>
      </c>
      <c r="D104" s="34" t="str">
        <f aca="false">IF($A104="","",SUMIFS(매매일지!$N:$N,매매일지!$B:$B,$A104))</f>
        <v/>
      </c>
      <c r="E104" s="42"/>
      <c r="F104" s="34" t="str">
        <f aca="false">IF($A104="","",C104-D104-N(E104))</f>
        <v/>
      </c>
      <c r="G104" s="34" t="str">
        <f aca="false">IF($A104="","",SUMIFS(재고!$I:$I,재고!$A:$A,$A104))</f>
        <v/>
      </c>
      <c r="H104" s="34" t="str">
        <f aca="false">IF($A104="","",F104+G104)</f>
        <v/>
      </c>
      <c r="I104" s="34" t="str">
        <f aca="false">IF($A104="","",SUM($F$5:F104))</f>
        <v/>
      </c>
      <c r="J104" s="34" t="str">
        <f aca="false">IF($A104="","",SUM($H$5:H104))</f>
        <v/>
      </c>
      <c r="K104" s="36" t="str">
        <f aca="false">IF($A104="","",IF(H104&lt;-운용규칙!$B$9,"한도초과","OK"))</f>
        <v/>
      </c>
      <c r="L104" s="36" t="str">
        <f aca="false">IF($A104="","",COUNTIFS(매매일지!$B:$B,$A104,매매일지!$R:$R,"위반"))</f>
        <v/>
      </c>
    </row>
    <row r="105" customFormat="false" ht="15" hidden="false" customHeight="false" outlineLevel="0" collapsed="false">
      <c r="A105" s="29"/>
      <c r="B105" s="36" t="str">
        <f aca="false">IF($A105="","",COUNTIFS(매매일지!$B:$B,$A105))</f>
        <v/>
      </c>
      <c r="C105" s="34" t="str">
        <f aca="false">IF($A105="","",SUMIFS(매매일지!$L:$L,매매일지!$B:$B,$A105)-SUMIFS(매매일지!$K:$K,매매일지!$B:$B,$A105))</f>
        <v/>
      </c>
      <c r="D105" s="34" t="str">
        <f aca="false">IF($A105="","",SUMIFS(매매일지!$N:$N,매매일지!$B:$B,$A105))</f>
        <v/>
      </c>
      <c r="E105" s="42"/>
      <c r="F105" s="34" t="str">
        <f aca="false">IF($A105="","",C105-D105-N(E105))</f>
        <v/>
      </c>
      <c r="G105" s="34" t="str">
        <f aca="false">IF($A105="","",SUMIFS(재고!$I:$I,재고!$A:$A,$A105))</f>
        <v/>
      </c>
      <c r="H105" s="34" t="str">
        <f aca="false">IF($A105="","",F105+G105)</f>
        <v/>
      </c>
      <c r="I105" s="34" t="str">
        <f aca="false">IF($A105="","",SUM($F$5:F105))</f>
        <v/>
      </c>
      <c r="J105" s="34" t="str">
        <f aca="false">IF($A105="","",SUM($H$5:H105))</f>
        <v/>
      </c>
      <c r="K105" s="36" t="str">
        <f aca="false">IF($A105="","",IF(H105&lt;-운용규칙!$B$9,"한도초과","OK"))</f>
        <v/>
      </c>
      <c r="L105" s="36" t="str">
        <f aca="false">IF($A105="","",COUNTIFS(매매일지!$B:$B,$A105,매매일지!$R:$R,"위반"))</f>
        <v/>
      </c>
    </row>
    <row r="106" customFormat="false" ht="15" hidden="false" customHeight="false" outlineLevel="0" collapsed="false">
      <c r="A106" s="29"/>
      <c r="B106" s="36" t="str">
        <f aca="false">IF($A106="","",COUNTIFS(매매일지!$B:$B,$A106))</f>
        <v/>
      </c>
      <c r="C106" s="34" t="str">
        <f aca="false">IF($A106="","",SUMIFS(매매일지!$L:$L,매매일지!$B:$B,$A106)-SUMIFS(매매일지!$K:$K,매매일지!$B:$B,$A106))</f>
        <v/>
      </c>
      <c r="D106" s="34" t="str">
        <f aca="false">IF($A106="","",SUMIFS(매매일지!$N:$N,매매일지!$B:$B,$A106))</f>
        <v/>
      </c>
      <c r="E106" s="42"/>
      <c r="F106" s="34" t="str">
        <f aca="false">IF($A106="","",C106-D106-N(E106))</f>
        <v/>
      </c>
      <c r="G106" s="34" t="str">
        <f aca="false">IF($A106="","",SUMIFS(재고!$I:$I,재고!$A:$A,$A106))</f>
        <v/>
      </c>
      <c r="H106" s="34" t="str">
        <f aca="false">IF($A106="","",F106+G106)</f>
        <v/>
      </c>
      <c r="I106" s="34" t="str">
        <f aca="false">IF($A106="","",SUM($F$5:F106))</f>
        <v/>
      </c>
      <c r="J106" s="34" t="str">
        <f aca="false">IF($A106="","",SUM($H$5:H106))</f>
        <v/>
      </c>
      <c r="K106" s="36" t="str">
        <f aca="false">IF($A106="","",IF(H106&lt;-운용규칙!$B$9,"한도초과","OK"))</f>
        <v/>
      </c>
      <c r="L106" s="36" t="str">
        <f aca="false">IF($A106="","",COUNTIFS(매매일지!$B:$B,$A106,매매일지!$R:$R,"위반"))</f>
        <v/>
      </c>
    </row>
    <row r="107" customFormat="false" ht="15" hidden="false" customHeight="false" outlineLevel="0" collapsed="false">
      <c r="A107" s="29"/>
      <c r="B107" s="36" t="str">
        <f aca="false">IF($A107="","",COUNTIFS(매매일지!$B:$B,$A107))</f>
        <v/>
      </c>
      <c r="C107" s="34" t="str">
        <f aca="false">IF($A107="","",SUMIFS(매매일지!$L:$L,매매일지!$B:$B,$A107)-SUMIFS(매매일지!$K:$K,매매일지!$B:$B,$A107))</f>
        <v/>
      </c>
      <c r="D107" s="34" t="str">
        <f aca="false">IF($A107="","",SUMIFS(매매일지!$N:$N,매매일지!$B:$B,$A107))</f>
        <v/>
      </c>
      <c r="E107" s="42"/>
      <c r="F107" s="34" t="str">
        <f aca="false">IF($A107="","",C107-D107-N(E107))</f>
        <v/>
      </c>
      <c r="G107" s="34" t="str">
        <f aca="false">IF($A107="","",SUMIFS(재고!$I:$I,재고!$A:$A,$A107))</f>
        <v/>
      </c>
      <c r="H107" s="34" t="str">
        <f aca="false">IF($A107="","",F107+G107)</f>
        <v/>
      </c>
      <c r="I107" s="34" t="str">
        <f aca="false">IF($A107="","",SUM($F$5:F107))</f>
        <v/>
      </c>
      <c r="J107" s="34" t="str">
        <f aca="false">IF($A107="","",SUM($H$5:H107))</f>
        <v/>
      </c>
      <c r="K107" s="36" t="str">
        <f aca="false">IF($A107="","",IF(H107&lt;-운용규칙!$B$9,"한도초과","OK"))</f>
        <v/>
      </c>
      <c r="L107" s="36" t="str">
        <f aca="false">IF($A107="","",COUNTIFS(매매일지!$B:$B,$A107,매매일지!$R:$R,"위반"))</f>
        <v/>
      </c>
    </row>
    <row r="108" customFormat="false" ht="15" hidden="false" customHeight="false" outlineLevel="0" collapsed="false">
      <c r="A108" s="29"/>
      <c r="B108" s="36" t="str">
        <f aca="false">IF($A108="","",COUNTIFS(매매일지!$B:$B,$A108))</f>
        <v/>
      </c>
      <c r="C108" s="34" t="str">
        <f aca="false">IF($A108="","",SUMIFS(매매일지!$L:$L,매매일지!$B:$B,$A108)-SUMIFS(매매일지!$K:$K,매매일지!$B:$B,$A108))</f>
        <v/>
      </c>
      <c r="D108" s="34" t="str">
        <f aca="false">IF($A108="","",SUMIFS(매매일지!$N:$N,매매일지!$B:$B,$A108))</f>
        <v/>
      </c>
      <c r="E108" s="42"/>
      <c r="F108" s="34" t="str">
        <f aca="false">IF($A108="","",C108-D108-N(E108))</f>
        <v/>
      </c>
      <c r="G108" s="34" t="str">
        <f aca="false">IF($A108="","",SUMIFS(재고!$I:$I,재고!$A:$A,$A108))</f>
        <v/>
      </c>
      <c r="H108" s="34" t="str">
        <f aca="false">IF($A108="","",F108+G108)</f>
        <v/>
      </c>
      <c r="I108" s="34" t="str">
        <f aca="false">IF($A108="","",SUM($F$5:F108))</f>
        <v/>
      </c>
      <c r="J108" s="34" t="str">
        <f aca="false">IF($A108="","",SUM($H$5:H108))</f>
        <v/>
      </c>
      <c r="K108" s="36" t="str">
        <f aca="false">IF($A108="","",IF(H108&lt;-운용규칙!$B$9,"한도초과","OK"))</f>
        <v/>
      </c>
      <c r="L108" s="36" t="str">
        <f aca="false">IF($A108="","",COUNTIFS(매매일지!$B:$B,$A108,매매일지!$R:$R,"위반"))</f>
        <v/>
      </c>
    </row>
    <row r="109" customFormat="false" ht="15" hidden="false" customHeight="false" outlineLevel="0" collapsed="false">
      <c r="A109" s="29"/>
      <c r="B109" s="36" t="str">
        <f aca="false">IF($A109="","",COUNTIFS(매매일지!$B:$B,$A109))</f>
        <v/>
      </c>
      <c r="C109" s="34" t="str">
        <f aca="false">IF($A109="","",SUMIFS(매매일지!$L:$L,매매일지!$B:$B,$A109)-SUMIFS(매매일지!$K:$K,매매일지!$B:$B,$A109))</f>
        <v/>
      </c>
      <c r="D109" s="34" t="str">
        <f aca="false">IF($A109="","",SUMIFS(매매일지!$N:$N,매매일지!$B:$B,$A109))</f>
        <v/>
      </c>
      <c r="E109" s="42"/>
      <c r="F109" s="34" t="str">
        <f aca="false">IF($A109="","",C109-D109-N(E109))</f>
        <v/>
      </c>
      <c r="G109" s="34" t="str">
        <f aca="false">IF($A109="","",SUMIFS(재고!$I:$I,재고!$A:$A,$A109))</f>
        <v/>
      </c>
      <c r="H109" s="34" t="str">
        <f aca="false">IF($A109="","",F109+G109)</f>
        <v/>
      </c>
      <c r="I109" s="34" t="str">
        <f aca="false">IF($A109="","",SUM($F$5:F109))</f>
        <v/>
      </c>
      <c r="J109" s="34" t="str">
        <f aca="false">IF($A109="","",SUM($H$5:H109))</f>
        <v/>
      </c>
      <c r="K109" s="36" t="str">
        <f aca="false">IF($A109="","",IF(H109&lt;-운용규칙!$B$9,"한도초과","OK"))</f>
        <v/>
      </c>
      <c r="L109" s="36" t="str">
        <f aca="false">IF($A109="","",COUNTIFS(매매일지!$B:$B,$A109,매매일지!$R:$R,"위반"))</f>
        <v/>
      </c>
    </row>
    <row r="110" customFormat="false" ht="15" hidden="false" customHeight="false" outlineLevel="0" collapsed="false">
      <c r="A110" s="29"/>
      <c r="B110" s="36" t="str">
        <f aca="false">IF($A110="","",COUNTIFS(매매일지!$B:$B,$A110))</f>
        <v/>
      </c>
      <c r="C110" s="34" t="str">
        <f aca="false">IF($A110="","",SUMIFS(매매일지!$L:$L,매매일지!$B:$B,$A110)-SUMIFS(매매일지!$K:$K,매매일지!$B:$B,$A110))</f>
        <v/>
      </c>
      <c r="D110" s="34" t="str">
        <f aca="false">IF($A110="","",SUMIFS(매매일지!$N:$N,매매일지!$B:$B,$A110))</f>
        <v/>
      </c>
      <c r="E110" s="42"/>
      <c r="F110" s="34" t="str">
        <f aca="false">IF($A110="","",C110-D110-N(E110))</f>
        <v/>
      </c>
      <c r="G110" s="34" t="str">
        <f aca="false">IF($A110="","",SUMIFS(재고!$I:$I,재고!$A:$A,$A110))</f>
        <v/>
      </c>
      <c r="H110" s="34" t="str">
        <f aca="false">IF($A110="","",F110+G110)</f>
        <v/>
      </c>
      <c r="I110" s="34" t="str">
        <f aca="false">IF($A110="","",SUM($F$5:F110))</f>
        <v/>
      </c>
      <c r="J110" s="34" t="str">
        <f aca="false">IF($A110="","",SUM($H$5:H110))</f>
        <v/>
      </c>
      <c r="K110" s="36" t="str">
        <f aca="false">IF($A110="","",IF(H110&lt;-운용규칙!$B$9,"한도초과","OK"))</f>
        <v/>
      </c>
      <c r="L110" s="36" t="str">
        <f aca="false">IF($A110="","",COUNTIFS(매매일지!$B:$B,$A110,매매일지!$R:$R,"위반"))</f>
        <v/>
      </c>
    </row>
    <row r="111" customFormat="false" ht="15" hidden="false" customHeight="false" outlineLevel="0" collapsed="false">
      <c r="A111" s="29"/>
      <c r="B111" s="36" t="str">
        <f aca="false">IF($A111="","",COUNTIFS(매매일지!$B:$B,$A111))</f>
        <v/>
      </c>
      <c r="C111" s="34" t="str">
        <f aca="false">IF($A111="","",SUMIFS(매매일지!$L:$L,매매일지!$B:$B,$A111)-SUMIFS(매매일지!$K:$K,매매일지!$B:$B,$A111))</f>
        <v/>
      </c>
      <c r="D111" s="34" t="str">
        <f aca="false">IF($A111="","",SUMIFS(매매일지!$N:$N,매매일지!$B:$B,$A111))</f>
        <v/>
      </c>
      <c r="E111" s="42"/>
      <c r="F111" s="34" t="str">
        <f aca="false">IF($A111="","",C111-D111-N(E111))</f>
        <v/>
      </c>
      <c r="G111" s="34" t="str">
        <f aca="false">IF($A111="","",SUMIFS(재고!$I:$I,재고!$A:$A,$A111))</f>
        <v/>
      </c>
      <c r="H111" s="34" t="str">
        <f aca="false">IF($A111="","",F111+G111)</f>
        <v/>
      </c>
      <c r="I111" s="34" t="str">
        <f aca="false">IF($A111="","",SUM($F$5:F111))</f>
        <v/>
      </c>
      <c r="J111" s="34" t="str">
        <f aca="false">IF($A111="","",SUM($H$5:H111))</f>
        <v/>
      </c>
      <c r="K111" s="36" t="str">
        <f aca="false">IF($A111="","",IF(H111&lt;-운용규칙!$B$9,"한도초과","OK"))</f>
        <v/>
      </c>
      <c r="L111" s="36" t="str">
        <f aca="false">IF($A111="","",COUNTIFS(매매일지!$B:$B,$A111,매매일지!$R:$R,"위반"))</f>
        <v/>
      </c>
    </row>
    <row r="112" customFormat="false" ht="15" hidden="false" customHeight="false" outlineLevel="0" collapsed="false">
      <c r="A112" s="29"/>
      <c r="B112" s="36" t="str">
        <f aca="false">IF($A112="","",COUNTIFS(매매일지!$B:$B,$A112))</f>
        <v/>
      </c>
      <c r="C112" s="34" t="str">
        <f aca="false">IF($A112="","",SUMIFS(매매일지!$L:$L,매매일지!$B:$B,$A112)-SUMIFS(매매일지!$K:$K,매매일지!$B:$B,$A112))</f>
        <v/>
      </c>
      <c r="D112" s="34" t="str">
        <f aca="false">IF($A112="","",SUMIFS(매매일지!$N:$N,매매일지!$B:$B,$A112))</f>
        <v/>
      </c>
      <c r="E112" s="42"/>
      <c r="F112" s="34" t="str">
        <f aca="false">IF($A112="","",C112-D112-N(E112))</f>
        <v/>
      </c>
      <c r="G112" s="34" t="str">
        <f aca="false">IF($A112="","",SUMIFS(재고!$I:$I,재고!$A:$A,$A112))</f>
        <v/>
      </c>
      <c r="H112" s="34" t="str">
        <f aca="false">IF($A112="","",F112+G112)</f>
        <v/>
      </c>
      <c r="I112" s="34" t="str">
        <f aca="false">IF($A112="","",SUM($F$5:F112))</f>
        <v/>
      </c>
      <c r="J112" s="34" t="str">
        <f aca="false">IF($A112="","",SUM($H$5:H112))</f>
        <v/>
      </c>
      <c r="K112" s="36" t="str">
        <f aca="false">IF($A112="","",IF(H112&lt;-운용규칙!$B$9,"한도초과","OK"))</f>
        <v/>
      </c>
      <c r="L112" s="36" t="str">
        <f aca="false">IF($A112="","",COUNTIFS(매매일지!$B:$B,$A112,매매일지!$R:$R,"위반"))</f>
        <v/>
      </c>
    </row>
    <row r="113" customFormat="false" ht="15" hidden="false" customHeight="false" outlineLevel="0" collapsed="false">
      <c r="A113" s="29"/>
      <c r="B113" s="36" t="str">
        <f aca="false">IF($A113="","",COUNTIFS(매매일지!$B:$B,$A113))</f>
        <v/>
      </c>
      <c r="C113" s="34" t="str">
        <f aca="false">IF($A113="","",SUMIFS(매매일지!$L:$L,매매일지!$B:$B,$A113)-SUMIFS(매매일지!$K:$K,매매일지!$B:$B,$A113))</f>
        <v/>
      </c>
      <c r="D113" s="34" t="str">
        <f aca="false">IF($A113="","",SUMIFS(매매일지!$N:$N,매매일지!$B:$B,$A113))</f>
        <v/>
      </c>
      <c r="E113" s="42"/>
      <c r="F113" s="34" t="str">
        <f aca="false">IF($A113="","",C113-D113-N(E113))</f>
        <v/>
      </c>
      <c r="G113" s="34" t="str">
        <f aca="false">IF($A113="","",SUMIFS(재고!$I:$I,재고!$A:$A,$A113))</f>
        <v/>
      </c>
      <c r="H113" s="34" t="str">
        <f aca="false">IF($A113="","",F113+G113)</f>
        <v/>
      </c>
      <c r="I113" s="34" t="str">
        <f aca="false">IF($A113="","",SUM($F$5:F113))</f>
        <v/>
      </c>
      <c r="J113" s="34" t="str">
        <f aca="false">IF($A113="","",SUM($H$5:H113))</f>
        <v/>
      </c>
      <c r="K113" s="36" t="str">
        <f aca="false">IF($A113="","",IF(H113&lt;-운용규칙!$B$9,"한도초과","OK"))</f>
        <v/>
      </c>
      <c r="L113" s="36" t="str">
        <f aca="false">IF($A113="","",COUNTIFS(매매일지!$B:$B,$A113,매매일지!$R:$R,"위반"))</f>
        <v/>
      </c>
    </row>
    <row r="114" customFormat="false" ht="15" hidden="false" customHeight="false" outlineLevel="0" collapsed="false">
      <c r="A114" s="29"/>
      <c r="B114" s="36" t="str">
        <f aca="false">IF($A114="","",COUNTIFS(매매일지!$B:$B,$A114))</f>
        <v/>
      </c>
      <c r="C114" s="34" t="str">
        <f aca="false">IF($A114="","",SUMIFS(매매일지!$L:$L,매매일지!$B:$B,$A114)-SUMIFS(매매일지!$K:$K,매매일지!$B:$B,$A114))</f>
        <v/>
      </c>
      <c r="D114" s="34" t="str">
        <f aca="false">IF($A114="","",SUMIFS(매매일지!$N:$N,매매일지!$B:$B,$A114))</f>
        <v/>
      </c>
      <c r="E114" s="42"/>
      <c r="F114" s="34" t="str">
        <f aca="false">IF($A114="","",C114-D114-N(E114))</f>
        <v/>
      </c>
      <c r="G114" s="34" t="str">
        <f aca="false">IF($A114="","",SUMIFS(재고!$I:$I,재고!$A:$A,$A114))</f>
        <v/>
      </c>
      <c r="H114" s="34" t="str">
        <f aca="false">IF($A114="","",F114+G114)</f>
        <v/>
      </c>
      <c r="I114" s="34" t="str">
        <f aca="false">IF($A114="","",SUM($F$5:F114))</f>
        <v/>
      </c>
      <c r="J114" s="34" t="str">
        <f aca="false">IF($A114="","",SUM($H$5:H114))</f>
        <v/>
      </c>
      <c r="K114" s="36" t="str">
        <f aca="false">IF($A114="","",IF(H114&lt;-운용규칙!$B$9,"한도초과","OK"))</f>
        <v/>
      </c>
      <c r="L114" s="36" t="str">
        <f aca="false">IF($A114="","",COUNTIFS(매매일지!$B:$B,$A114,매매일지!$R:$R,"위반"))</f>
        <v/>
      </c>
    </row>
    <row r="115" customFormat="false" ht="15" hidden="false" customHeight="false" outlineLevel="0" collapsed="false">
      <c r="A115" s="29"/>
      <c r="B115" s="36" t="str">
        <f aca="false">IF($A115="","",COUNTIFS(매매일지!$B:$B,$A115))</f>
        <v/>
      </c>
      <c r="C115" s="34" t="str">
        <f aca="false">IF($A115="","",SUMIFS(매매일지!$L:$L,매매일지!$B:$B,$A115)-SUMIFS(매매일지!$K:$K,매매일지!$B:$B,$A115))</f>
        <v/>
      </c>
      <c r="D115" s="34" t="str">
        <f aca="false">IF($A115="","",SUMIFS(매매일지!$N:$N,매매일지!$B:$B,$A115))</f>
        <v/>
      </c>
      <c r="E115" s="42"/>
      <c r="F115" s="34" t="str">
        <f aca="false">IF($A115="","",C115-D115-N(E115))</f>
        <v/>
      </c>
      <c r="G115" s="34" t="str">
        <f aca="false">IF($A115="","",SUMIFS(재고!$I:$I,재고!$A:$A,$A115))</f>
        <v/>
      </c>
      <c r="H115" s="34" t="str">
        <f aca="false">IF($A115="","",F115+G115)</f>
        <v/>
      </c>
      <c r="I115" s="34" t="str">
        <f aca="false">IF($A115="","",SUM($F$5:F115))</f>
        <v/>
      </c>
      <c r="J115" s="34" t="str">
        <f aca="false">IF($A115="","",SUM($H$5:H115))</f>
        <v/>
      </c>
      <c r="K115" s="36" t="str">
        <f aca="false">IF($A115="","",IF(H115&lt;-운용규칙!$B$9,"한도초과","OK"))</f>
        <v/>
      </c>
      <c r="L115" s="36" t="str">
        <f aca="false">IF($A115="","",COUNTIFS(매매일지!$B:$B,$A115,매매일지!$R:$R,"위반"))</f>
        <v/>
      </c>
    </row>
    <row r="116" customFormat="false" ht="15" hidden="false" customHeight="false" outlineLevel="0" collapsed="false">
      <c r="A116" s="29"/>
      <c r="B116" s="36" t="str">
        <f aca="false">IF($A116="","",COUNTIFS(매매일지!$B:$B,$A116))</f>
        <v/>
      </c>
      <c r="C116" s="34" t="str">
        <f aca="false">IF($A116="","",SUMIFS(매매일지!$L:$L,매매일지!$B:$B,$A116)-SUMIFS(매매일지!$K:$K,매매일지!$B:$B,$A116))</f>
        <v/>
      </c>
      <c r="D116" s="34" t="str">
        <f aca="false">IF($A116="","",SUMIFS(매매일지!$N:$N,매매일지!$B:$B,$A116))</f>
        <v/>
      </c>
      <c r="E116" s="42"/>
      <c r="F116" s="34" t="str">
        <f aca="false">IF($A116="","",C116-D116-N(E116))</f>
        <v/>
      </c>
      <c r="G116" s="34" t="str">
        <f aca="false">IF($A116="","",SUMIFS(재고!$I:$I,재고!$A:$A,$A116))</f>
        <v/>
      </c>
      <c r="H116" s="34" t="str">
        <f aca="false">IF($A116="","",F116+G116)</f>
        <v/>
      </c>
      <c r="I116" s="34" t="str">
        <f aca="false">IF($A116="","",SUM($F$5:F116))</f>
        <v/>
      </c>
      <c r="J116" s="34" t="str">
        <f aca="false">IF($A116="","",SUM($H$5:H116))</f>
        <v/>
      </c>
      <c r="K116" s="36" t="str">
        <f aca="false">IF($A116="","",IF(H116&lt;-운용규칙!$B$9,"한도초과","OK"))</f>
        <v/>
      </c>
      <c r="L116" s="36" t="str">
        <f aca="false">IF($A116="","",COUNTIFS(매매일지!$B:$B,$A116,매매일지!$R:$R,"위반"))</f>
        <v/>
      </c>
    </row>
    <row r="117" customFormat="false" ht="15" hidden="false" customHeight="false" outlineLevel="0" collapsed="false">
      <c r="A117" s="29"/>
      <c r="B117" s="36" t="str">
        <f aca="false">IF($A117="","",COUNTIFS(매매일지!$B:$B,$A117))</f>
        <v/>
      </c>
      <c r="C117" s="34" t="str">
        <f aca="false">IF($A117="","",SUMIFS(매매일지!$L:$L,매매일지!$B:$B,$A117)-SUMIFS(매매일지!$K:$K,매매일지!$B:$B,$A117))</f>
        <v/>
      </c>
      <c r="D117" s="34" t="str">
        <f aca="false">IF($A117="","",SUMIFS(매매일지!$N:$N,매매일지!$B:$B,$A117))</f>
        <v/>
      </c>
      <c r="E117" s="42"/>
      <c r="F117" s="34" t="str">
        <f aca="false">IF($A117="","",C117-D117-N(E117))</f>
        <v/>
      </c>
      <c r="G117" s="34" t="str">
        <f aca="false">IF($A117="","",SUMIFS(재고!$I:$I,재고!$A:$A,$A117))</f>
        <v/>
      </c>
      <c r="H117" s="34" t="str">
        <f aca="false">IF($A117="","",F117+G117)</f>
        <v/>
      </c>
      <c r="I117" s="34" t="str">
        <f aca="false">IF($A117="","",SUM($F$5:F117))</f>
        <v/>
      </c>
      <c r="J117" s="34" t="str">
        <f aca="false">IF($A117="","",SUM($H$5:H117))</f>
        <v/>
      </c>
      <c r="K117" s="36" t="str">
        <f aca="false">IF($A117="","",IF(H117&lt;-운용규칙!$B$9,"한도초과","OK"))</f>
        <v/>
      </c>
      <c r="L117" s="36" t="str">
        <f aca="false">IF($A117="","",COUNTIFS(매매일지!$B:$B,$A117,매매일지!$R:$R,"위반"))</f>
        <v/>
      </c>
    </row>
    <row r="118" customFormat="false" ht="15" hidden="false" customHeight="false" outlineLevel="0" collapsed="false">
      <c r="A118" s="29"/>
      <c r="B118" s="36" t="str">
        <f aca="false">IF($A118="","",COUNTIFS(매매일지!$B:$B,$A118))</f>
        <v/>
      </c>
      <c r="C118" s="34" t="str">
        <f aca="false">IF($A118="","",SUMIFS(매매일지!$L:$L,매매일지!$B:$B,$A118)-SUMIFS(매매일지!$K:$K,매매일지!$B:$B,$A118))</f>
        <v/>
      </c>
      <c r="D118" s="34" t="str">
        <f aca="false">IF($A118="","",SUMIFS(매매일지!$N:$N,매매일지!$B:$B,$A118))</f>
        <v/>
      </c>
      <c r="E118" s="42"/>
      <c r="F118" s="34" t="str">
        <f aca="false">IF($A118="","",C118-D118-N(E118))</f>
        <v/>
      </c>
      <c r="G118" s="34" t="str">
        <f aca="false">IF($A118="","",SUMIFS(재고!$I:$I,재고!$A:$A,$A118))</f>
        <v/>
      </c>
      <c r="H118" s="34" t="str">
        <f aca="false">IF($A118="","",F118+G118)</f>
        <v/>
      </c>
      <c r="I118" s="34" t="str">
        <f aca="false">IF($A118="","",SUM($F$5:F118))</f>
        <v/>
      </c>
      <c r="J118" s="34" t="str">
        <f aca="false">IF($A118="","",SUM($H$5:H118))</f>
        <v/>
      </c>
      <c r="K118" s="36" t="str">
        <f aca="false">IF($A118="","",IF(H118&lt;-운용규칙!$B$9,"한도초과","OK"))</f>
        <v/>
      </c>
      <c r="L118" s="36" t="str">
        <f aca="false">IF($A118="","",COUNTIFS(매매일지!$B:$B,$A118,매매일지!$R:$R,"위반"))</f>
        <v/>
      </c>
    </row>
    <row r="119" customFormat="false" ht="15" hidden="false" customHeight="false" outlineLevel="0" collapsed="false">
      <c r="A119" s="29"/>
      <c r="B119" s="36" t="str">
        <f aca="false">IF($A119="","",COUNTIFS(매매일지!$B:$B,$A119))</f>
        <v/>
      </c>
      <c r="C119" s="34" t="str">
        <f aca="false">IF($A119="","",SUMIFS(매매일지!$L:$L,매매일지!$B:$B,$A119)-SUMIFS(매매일지!$K:$K,매매일지!$B:$B,$A119))</f>
        <v/>
      </c>
      <c r="D119" s="34" t="str">
        <f aca="false">IF($A119="","",SUMIFS(매매일지!$N:$N,매매일지!$B:$B,$A119))</f>
        <v/>
      </c>
      <c r="E119" s="42"/>
      <c r="F119" s="34" t="str">
        <f aca="false">IF($A119="","",C119-D119-N(E119))</f>
        <v/>
      </c>
      <c r="G119" s="34" t="str">
        <f aca="false">IF($A119="","",SUMIFS(재고!$I:$I,재고!$A:$A,$A119))</f>
        <v/>
      </c>
      <c r="H119" s="34" t="str">
        <f aca="false">IF($A119="","",F119+G119)</f>
        <v/>
      </c>
      <c r="I119" s="34" t="str">
        <f aca="false">IF($A119="","",SUM($F$5:F119))</f>
        <v/>
      </c>
      <c r="J119" s="34" t="str">
        <f aca="false">IF($A119="","",SUM($H$5:H119))</f>
        <v/>
      </c>
      <c r="K119" s="36" t="str">
        <f aca="false">IF($A119="","",IF(H119&lt;-운용규칙!$B$9,"한도초과","OK"))</f>
        <v/>
      </c>
      <c r="L119" s="36" t="str">
        <f aca="false">IF($A119="","",COUNTIFS(매매일지!$B:$B,$A119,매매일지!$R:$R,"위반"))</f>
        <v/>
      </c>
    </row>
    <row r="120" customFormat="false" ht="15" hidden="false" customHeight="false" outlineLevel="0" collapsed="false">
      <c r="A120" s="29"/>
      <c r="B120" s="36" t="str">
        <f aca="false">IF($A120="","",COUNTIFS(매매일지!$B:$B,$A120))</f>
        <v/>
      </c>
      <c r="C120" s="34" t="str">
        <f aca="false">IF($A120="","",SUMIFS(매매일지!$L:$L,매매일지!$B:$B,$A120)-SUMIFS(매매일지!$K:$K,매매일지!$B:$B,$A120))</f>
        <v/>
      </c>
      <c r="D120" s="34" t="str">
        <f aca="false">IF($A120="","",SUMIFS(매매일지!$N:$N,매매일지!$B:$B,$A120))</f>
        <v/>
      </c>
      <c r="E120" s="42"/>
      <c r="F120" s="34" t="str">
        <f aca="false">IF($A120="","",C120-D120-N(E120))</f>
        <v/>
      </c>
      <c r="G120" s="34" t="str">
        <f aca="false">IF($A120="","",SUMIFS(재고!$I:$I,재고!$A:$A,$A120))</f>
        <v/>
      </c>
      <c r="H120" s="34" t="str">
        <f aca="false">IF($A120="","",F120+G120)</f>
        <v/>
      </c>
      <c r="I120" s="34" t="str">
        <f aca="false">IF($A120="","",SUM($F$5:F120))</f>
        <v/>
      </c>
      <c r="J120" s="34" t="str">
        <f aca="false">IF($A120="","",SUM($H$5:H120))</f>
        <v/>
      </c>
      <c r="K120" s="36" t="str">
        <f aca="false">IF($A120="","",IF(H120&lt;-운용규칙!$B$9,"한도초과","OK"))</f>
        <v/>
      </c>
      <c r="L120" s="36" t="str">
        <f aca="false">IF($A120="","",COUNTIFS(매매일지!$B:$B,$A120,매매일지!$R:$R,"위반"))</f>
        <v/>
      </c>
    </row>
    <row r="121" customFormat="false" ht="15" hidden="false" customHeight="false" outlineLevel="0" collapsed="false">
      <c r="A121" s="29"/>
      <c r="B121" s="36" t="str">
        <f aca="false">IF($A121="","",COUNTIFS(매매일지!$B:$B,$A121))</f>
        <v/>
      </c>
      <c r="C121" s="34" t="str">
        <f aca="false">IF($A121="","",SUMIFS(매매일지!$L:$L,매매일지!$B:$B,$A121)-SUMIFS(매매일지!$K:$K,매매일지!$B:$B,$A121))</f>
        <v/>
      </c>
      <c r="D121" s="34" t="str">
        <f aca="false">IF($A121="","",SUMIFS(매매일지!$N:$N,매매일지!$B:$B,$A121))</f>
        <v/>
      </c>
      <c r="E121" s="42"/>
      <c r="F121" s="34" t="str">
        <f aca="false">IF($A121="","",C121-D121-N(E121))</f>
        <v/>
      </c>
      <c r="G121" s="34" t="str">
        <f aca="false">IF($A121="","",SUMIFS(재고!$I:$I,재고!$A:$A,$A121))</f>
        <v/>
      </c>
      <c r="H121" s="34" t="str">
        <f aca="false">IF($A121="","",F121+G121)</f>
        <v/>
      </c>
      <c r="I121" s="34" t="str">
        <f aca="false">IF($A121="","",SUM($F$5:F121))</f>
        <v/>
      </c>
      <c r="J121" s="34" t="str">
        <f aca="false">IF($A121="","",SUM($H$5:H121))</f>
        <v/>
      </c>
      <c r="K121" s="36" t="str">
        <f aca="false">IF($A121="","",IF(H121&lt;-운용규칙!$B$9,"한도초과","OK"))</f>
        <v/>
      </c>
      <c r="L121" s="36" t="str">
        <f aca="false">IF($A121="","",COUNTIFS(매매일지!$B:$B,$A121,매매일지!$R:$R,"위반"))</f>
        <v/>
      </c>
    </row>
    <row r="122" customFormat="false" ht="15" hidden="false" customHeight="false" outlineLevel="0" collapsed="false">
      <c r="A122" s="29"/>
      <c r="B122" s="36" t="str">
        <f aca="false">IF($A122="","",COUNTIFS(매매일지!$B:$B,$A122))</f>
        <v/>
      </c>
      <c r="C122" s="34" t="str">
        <f aca="false">IF($A122="","",SUMIFS(매매일지!$L:$L,매매일지!$B:$B,$A122)-SUMIFS(매매일지!$K:$K,매매일지!$B:$B,$A122))</f>
        <v/>
      </c>
      <c r="D122" s="34" t="str">
        <f aca="false">IF($A122="","",SUMIFS(매매일지!$N:$N,매매일지!$B:$B,$A122))</f>
        <v/>
      </c>
      <c r="E122" s="42"/>
      <c r="F122" s="34" t="str">
        <f aca="false">IF($A122="","",C122-D122-N(E122))</f>
        <v/>
      </c>
      <c r="G122" s="34" t="str">
        <f aca="false">IF($A122="","",SUMIFS(재고!$I:$I,재고!$A:$A,$A122))</f>
        <v/>
      </c>
      <c r="H122" s="34" t="str">
        <f aca="false">IF($A122="","",F122+G122)</f>
        <v/>
      </c>
      <c r="I122" s="34" t="str">
        <f aca="false">IF($A122="","",SUM($F$5:F122))</f>
        <v/>
      </c>
      <c r="J122" s="34" t="str">
        <f aca="false">IF($A122="","",SUM($H$5:H122))</f>
        <v/>
      </c>
      <c r="K122" s="36" t="str">
        <f aca="false">IF($A122="","",IF(H122&lt;-운용규칙!$B$9,"한도초과","OK"))</f>
        <v/>
      </c>
      <c r="L122" s="36" t="str">
        <f aca="false">IF($A122="","",COUNTIFS(매매일지!$B:$B,$A122,매매일지!$R:$R,"위반"))</f>
        <v/>
      </c>
    </row>
    <row r="123" customFormat="false" ht="15" hidden="false" customHeight="false" outlineLevel="0" collapsed="false">
      <c r="A123" s="29"/>
      <c r="B123" s="36" t="str">
        <f aca="false">IF($A123="","",COUNTIFS(매매일지!$B:$B,$A123))</f>
        <v/>
      </c>
      <c r="C123" s="34" t="str">
        <f aca="false">IF($A123="","",SUMIFS(매매일지!$L:$L,매매일지!$B:$B,$A123)-SUMIFS(매매일지!$K:$K,매매일지!$B:$B,$A123))</f>
        <v/>
      </c>
      <c r="D123" s="34" t="str">
        <f aca="false">IF($A123="","",SUMIFS(매매일지!$N:$N,매매일지!$B:$B,$A123))</f>
        <v/>
      </c>
      <c r="E123" s="42"/>
      <c r="F123" s="34" t="str">
        <f aca="false">IF($A123="","",C123-D123-N(E123))</f>
        <v/>
      </c>
      <c r="G123" s="34" t="str">
        <f aca="false">IF($A123="","",SUMIFS(재고!$I:$I,재고!$A:$A,$A123))</f>
        <v/>
      </c>
      <c r="H123" s="34" t="str">
        <f aca="false">IF($A123="","",F123+G123)</f>
        <v/>
      </c>
      <c r="I123" s="34" t="str">
        <f aca="false">IF($A123="","",SUM($F$5:F123))</f>
        <v/>
      </c>
      <c r="J123" s="34" t="str">
        <f aca="false">IF($A123="","",SUM($H$5:H123))</f>
        <v/>
      </c>
      <c r="K123" s="36" t="str">
        <f aca="false">IF($A123="","",IF(H123&lt;-운용규칙!$B$9,"한도초과","OK"))</f>
        <v/>
      </c>
      <c r="L123" s="36" t="str">
        <f aca="false">IF($A123="","",COUNTIFS(매매일지!$B:$B,$A123,매매일지!$R:$R,"위반"))</f>
        <v/>
      </c>
    </row>
    <row r="124" customFormat="false" ht="15" hidden="false" customHeight="false" outlineLevel="0" collapsed="false">
      <c r="A124" s="29"/>
      <c r="B124" s="36" t="str">
        <f aca="false">IF($A124="","",COUNTIFS(매매일지!$B:$B,$A124))</f>
        <v/>
      </c>
      <c r="C124" s="34" t="str">
        <f aca="false">IF($A124="","",SUMIFS(매매일지!$L:$L,매매일지!$B:$B,$A124)-SUMIFS(매매일지!$K:$K,매매일지!$B:$B,$A124))</f>
        <v/>
      </c>
      <c r="D124" s="34" t="str">
        <f aca="false">IF($A124="","",SUMIFS(매매일지!$N:$N,매매일지!$B:$B,$A124))</f>
        <v/>
      </c>
      <c r="E124" s="42"/>
      <c r="F124" s="34" t="str">
        <f aca="false">IF($A124="","",C124-D124-N(E124))</f>
        <v/>
      </c>
      <c r="G124" s="34" t="str">
        <f aca="false">IF($A124="","",SUMIFS(재고!$I:$I,재고!$A:$A,$A124))</f>
        <v/>
      </c>
      <c r="H124" s="34" t="str">
        <f aca="false">IF($A124="","",F124+G124)</f>
        <v/>
      </c>
      <c r="I124" s="34" t="str">
        <f aca="false">IF($A124="","",SUM($F$5:F124))</f>
        <v/>
      </c>
      <c r="J124" s="34" t="str">
        <f aca="false">IF($A124="","",SUM($H$5:H124))</f>
        <v/>
      </c>
      <c r="K124" s="36" t="str">
        <f aca="false">IF($A124="","",IF(H124&lt;-운용규칙!$B$9,"한도초과","OK"))</f>
        <v/>
      </c>
      <c r="L124" s="36" t="str">
        <f aca="false">IF($A124="","",COUNTIFS(매매일지!$B:$B,$A124,매매일지!$R:$R,"위반"))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2" min="10" style="0" width="35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31.5" hidden="false" customHeight="true" outlineLevel="0" collapsed="false">
      <c r="A4" s="7" t="s">
        <v>96</v>
      </c>
      <c r="B4" s="7" t="s">
        <v>97</v>
      </c>
      <c r="C4" s="7" t="s">
        <v>98</v>
      </c>
      <c r="D4" s="6" t="s">
        <v>85</v>
      </c>
      <c r="E4" s="6" t="s">
        <v>99</v>
      </c>
      <c r="F4" s="6" t="s">
        <v>81</v>
      </c>
      <c r="G4" s="6" t="s">
        <v>100</v>
      </c>
      <c r="H4" s="6" t="s">
        <v>101</v>
      </c>
      <c r="I4" s="6" t="s">
        <v>93</v>
      </c>
      <c r="J4" s="7" t="s">
        <v>102</v>
      </c>
      <c r="K4" s="7" t="s">
        <v>103</v>
      </c>
      <c r="L4" s="7" t="s">
        <v>104</v>
      </c>
    </row>
    <row r="5" customFormat="false" ht="29.85" hidden="false" customHeight="false" outlineLevel="0" collapsed="false">
      <c r="A5" s="18" t="n">
        <v>1</v>
      </c>
      <c r="B5" s="19" t="n">
        <v>46307</v>
      </c>
      <c r="C5" s="19" t="n">
        <v>46313</v>
      </c>
      <c r="D5" s="27" t="n">
        <f aca="false">IF(OR($B5="",$C5=""),"",COUNTIFS(매매일지!$B:$B,"&gt;="&amp;$B5,매매일지!$B:$B,"&lt;="&amp;$C5))</f>
        <v>1</v>
      </c>
      <c r="E5" s="25" t="n">
        <f aca="false">IF(OR($B5="",$C5=""),"",SUMIFS(일일PnL!$F:$F,일일PnL!$A:$A,"&gt;="&amp;$B5,일일PnL!$A:$A,"&lt;="&amp;$C5))</f>
        <v>178.218899999997</v>
      </c>
      <c r="F5" s="25" t="n">
        <f aca="false">IF(OR($B5="",$C5=""),"",SUMIFS(일일PnL!$G:$G,일일PnL!$A:$A,"&gt;="&amp;$B5,일일PnL!$A:$A,"&lt;="&amp;$C5))</f>
        <v>900</v>
      </c>
      <c r="G5" s="26" t="n">
        <f aca="false">IF(OR($B5="",$C5=""),"",IFERROR(AVERAGEIFS(매매일지!$P:$P,매매일지!$B:$B,"&gt;="&amp;$B5,매매일지!$B:$B,"&lt;="&amp;$C5),""))</f>
        <v>17.8522388059699</v>
      </c>
      <c r="H5" s="26" t="n">
        <f aca="false">IF(OR($B5="",$C5=""),"",IFERROR(AVERAGEIFS(매매일지!$Q:$Q,매매일지!$B:$B,"&gt;="&amp;$B5,매매일지!$B:$B,"&lt;="&amp;$C5),""))</f>
        <v>6.94776119403014</v>
      </c>
      <c r="I5" s="27" t="n">
        <f aca="false">IF(OR($B5="",$C5=""),"",COUNTIFS(매매일지!$B:$B,"&gt;="&amp;$B5,매매일지!$B:$B,"&lt;="&amp;$C5,매매일지!$R:$R,"위반"))</f>
        <v>0</v>
      </c>
      <c r="J5" s="43" t="s">
        <v>105</v>
      </c>
      <c r="K5" s="43" t="s">
        <v>106</v>
      </c>
      <c r="L5" s="43" t="s">
        <v>107</v>
      </c>
    </row>
    <row r="6" customFormat="false" ht="15" hidden="false" customHeight="false" outlineLevel="0" collapsed="false">
      <c r="A6" s="28"/>
      <c r="B6" s="29"/>
      <c r="C6" s="29"/>
      <c r="D6" s="36" t="str">
        <f aca="false">IF(OR($B6="",$C6=""),"",COUNTIFS(매매일지!$B:$B,"&gt;="&amp;$B6,매매일지!$B:$B,"&lt;="&amp;$C6))</f>
        <v/>
      </c>
      <c r="E6" s="34" t="str">
        <f aca="false">IF(OR($B6="",$C6=""),"",SUMIFS(일일PnL!$F:$F,일일PnL!$A:$A,"&gt;="&amp;$B6,일일PnL!$A:$A,"&lt;="&amp;$C6))</f>
        <v/>
      </c>
      <c r="F6" s="34" t="str">
        <f aca="false">IF(OR($B6="",$C6=""),"",SUMIFS(일일PnL!$G:$G,일일PnL!$A:$A,"&gt;="&amp;$B6,일일PnL!$A:$A,"&lt;="&amp;$C6))</f>
        <v/>
      </c>
      <c r="G6" s="35" t="str">
        <f aca="false">IF(OR($B6="",$C6=""),"",IFERROR(AVERAGEIFS(매매일지!$P:$P,매매일지!$B:$B,"&gt;="&amp;$B6,매매일지!$B:$B,"&lt;="&amp;$C6),""))</f>
        <v/>
      </c>
      <c r="H6" s="35" t="str">
        <f aca="false">IF(OR($B6="",$C6=""),"",IFERROR(AVERAGEIFS(매매일지!$Q:$Q,매매일지!$B:$B,"&gt;="&amp;$B6,매매일지!$B:$B,"&lt;="&amp;$C6),""))</f>
        <v/>
      </c>
      <c r="I6" s="36" t="str">
        <f aca="false">IF(OR($B6="",$C6=""),"",COUNTIFS(매매일지!$B:$B,"&gt;="&amp;$B6,매매일지!$B:$B,"&lt;="&amp;$C6,매매일지!$R:$R,"위반"))</f>
        <v/>
      </c>
      <c r="J6" s="44"/>
      <c r="K6" s="44"/>
      <c r="L6" s="44"/>
    </row>
    <row r="7" customFormat="false" ht="15" hidden="false" customHeight="false" outlineLevel="0" collapsed="false">
      <c r="A7" s="28"/>
      <c r="B7" s="29"/>
      <c r="C7" s="29"/>
      <c r="D7" s="36" t="str">
        <f aca="false">IF(OR($B7="",$C7=""),"",COUNTIFS(매매일지!$B:$B,"&gt;="&amp;$B7,매매일지!$B:$B,"&lt;="&amp;$C7))</f>
        <v/>
      </c>
      <c r="E7" s="34" t="str">
        <f aca="false">IF(OR($B7="",$C7=""),"",SUMIFS(일일PnL!$F:$F,일일PnL!$A:$A,"&gt;="&amp;$B7,일일PnL!$A:$A,"&lt;="&amp;$C7))</f>
        <v/>
      </c>
      <c r="F7" s="34" t="str">
        <f aca="false">IF(OR($B7="",$C7=""),"",SUMIFS(일일PnL!$G:$G,일일PnL!$A:$A,"&gt;="&amp;$B7,일일PnL!$A:$A,"&lt;="&amp;$C7))</f>
        <v/>
      </c>
      <c r="G7" s="35" t="str">
        <f aca="false">IF(OR($B7="",$C7=""),"",IFERROR(AVERAGEIFS(매매일지!$P:$P,매매일지!$B:$B,"&gt;="&amp;$B7,매매일지!$B:$B,"&lt;="&amp;$C7),""))</f>
        <v/>
      </c>
      <c r="H7" s="35" t="str">
        <f aca="false">IF(OR($B7="",$C7=""),"",IFERROR(AVERAGEIFS(매매일지!$Q:$Q,매매일지!$B:$B,"&gt;="&amp;$B7,매매일지!$B:$B,"&lt;="&amp;$C7),""))</f>
        <v/>
      </c>
      <c r="I7" s="36" t="str">
        <f aca="false">IF(OR($B7="",$C7=""),"",COUNTIFS(매매일지!$B:$B,"&gt;="&amp;$B7,매매일지!$B:$B,"&lt;="&amp;$C7,매매일지!$R:$R,"위반"))</f>
        <v/>
      </c>
      <c r="J7" s="44"/>
      <c r="K7" s="44"/>
      <c r="L7" s="44"/>
    </row>
    <row r="8" customFormat="false" ht="15" hidden="false" customHeight="false" outlineLevel="0" collapsed="false">
      <c r="A8" s="28"/>
      <c r="B8" s="29"/>
      <c r="C8" s="29"/>
      <c r="D8" s="36" t="str">
        <f aca="false">IF(OR($B8="",$C8=""),"",COUNTIFS(매매일지!$B:$B,"&gt;="&amp;$B8,매매일지!$B:$B,"&lt;="&amp;$C8))</f>
        <v/>
      </c>
      <c r="E8" s="34" t="str">
        <f aca="false">IF(OR($B8="",$C8=""),"",SUMIFS(일일PnL!$F:$F,일일PnL!$A:$A,"&gt;="&amp;$B8,일일PnL!$A:$A,"&lt;="&amp;$C8))</f>
        <v/>
      </c>
      <c r="F8" s="34" t="str">
        <f aca="false">IF(OR($B8="",$C8=""),"",SUMIFS(일일PnL!$G:$G,일일PnL!$A:$A,"&gt;="&amp;$B8,일일PnL!$A:$A,"&lt;="&amp;$C8))</f>
        <v/>
      </c>
      <c r="G8" s="35" t="str">
        <f aca="false">IF(OR($B8="",$C8=""),"",IFERROR(AVERAGEIFS(매매일지!$P:$P,매매일지!$B:$B,"&gt;="&amp;$B8,매매일지!$B:$B,"&lt;="&amp;$C8),""))</f>
        <v/>
      </c>
      <c r="H8" s="35" t="str">
        <f aca="false">IF(OR($B8="",$C8=""),"",IFERROR(AVERAGEIFS(매매일지!$Q:$Q,매매일지!$B:$B,"&gt;="&amp;$B8,매매일지!$B:$B,"&lt;="&amp;$C8),""))</f>
        <v/>
      </c>
      <c r="I8" s="36" t="str">
        <f aca="false">IF(OR($B8="",$C8=""),"",COUNTIFS(매매일지!$B:$B,"&gt;="&amp;$B8,매매일지!$B:$B,"&lt;="&amp;$C8,매매일지!$R:$R,"위반"))</f>
        <v/>
      </c>
      <c r="J8" s="44"/>
      <c r="K8" s="44"/>
      <c r="L8" s="44"/>
    </row>
    <row r="9" customFormat="false" ht="15" hidden="false" customHeight="false" outlineLevel="0" collapsed="false">
      <c r="A9" s="28"/>
      <c r="B9" s="29"/>
      <c r="C9" s="29"/>
      <c r="D9" s="36" t="str">
        <f aca="false">IF(OR($B9="",$C9=""),"",COUNTIFS(매매일지!$B:$B,"&gt;="&amp;$B9,매매일지!$B:$B,"&lt;="&amp;$C9))</f>
        <v/>
      </c>
      <c r="E9" s="34" t="str">
        <f aca="false">IF(OR($B9="",$C9=""),"",SUMIFS(일일PnL!$F:$F,일일PnL!$A:$A,"&gt;="&amp;$B9,일일PnL!$A:$A,"&lt;="&amp;$C9))</f>
        <v/>
      </c>
      <c r="F9" s="34" t="str">
        <f aca="false">IF(OR($B9="",$C9=""),"",SUMIFS(일일PnL!$G:$G,일일PnL!$A:$A,"&gt;="&amp;$B9,일일PnL!$A:$A,"&lt;="&amp;$C9))</f>
        <v/>
      </c>
      <c r="G9" s="35" t="str">
        <f aca="false">IF(OR($B9="",$C9=""),"",IFERROR(AVERAGEIFS(매매일지!$P:$P,매매일지!$B:$B,"&gt;="&amp;$B9,매매일지!$B:$B,"&lt;="&amp;$C9),""))</f>
        <v/>
      </c>
      <c r="H9" s="35" t="str">
        <f aca="false">IF(OR($B9="",$C9=""),"",IFERROR(AVERAGEIFS(매매일지!$Q:$Q,매매일지!$B:$B,"&gt;="&amp;$B9,매매일지!$B:$B,"&lt;="&amp;$C9),""))</f>
        <v/>
      </c>
      <c r="I9" s="36" t="str">
        <f aca="false">IF(OR($B9="",$C9=""),"",COUNTIFS(매매일지!$B:$B,"&gt;="&amp;$B9,매매일지!$B:$B,"&lt;="&amp;$C9,매매일지!$R:$R,"위반"))</f>
        <v/>
      </c>
      <c r="J9" s="44"/>
      <c r="K9" s="44"/>
      <c r="L9" s="44"/>
    </row>
    <row r="10" customFormat="false" ht="15" hidden="false" customHeight="false" outlineLevel="0" collapsed="false">
      <c r="A10" s="28"/>
      <c r="B10" s="29"/>
      <c r="C10" s="29"/>
      <c r="D10" s="36" t="str">
        <f aca="false">IF(OR($B10="",$C10=""),"",COUNTIFS(매매일지!$B:$B,"&gt;="&amp;$B10,매매일지!$B:$B,"&lt;="&amp;$C10))</f>
        <v/>
      </c>
      <c r="E10" s="34" t="str">
        <f aca="false">IF(OR($B10="",$C10=""),"",SUMIFS(일일PnL!$F:$F,일일PnL!$A:$A,"&gt;="&amp;$B10,일일PnL!$A:$A,"&lt;="&amp;$C10))</f>
        <v/>
      </c>
      <c r="F10" s="34" t="str">
        <f aca="false">IF(OR($B10="",$C10=""),"",SUMIFS(일일PnL!$G:$G,일일PnL!$A:$A,"&gt;="&amp;$B10,일일PnL!$A:$A,"&lt;="&amp;$C10))</f>
        <v/>
      </c>
      <c r="G10" s="35" t="str">
        <f aca="false">IF(OR($B10="",$C10=""),"",IFERROR(AVERAGEIFS(매매일지!$P:$P,매매일지!$B:$B,"&gt;="&amp;$B10,매매일지!$B:$B,"&lt;="&amp;$C10),""))</f>
        <v/>
      </c>
      <c r="H10" s="35" t="str">
        <f aca="false">IF(OR($B10="",$C10=""),"",IFERROR(AVERAGEIFS(매매일지!$Q:$Q,매매일지!$B:$B,"&gt;="&amp;$B10,매매일지!$B:$B,"&lt;="&amp;$C10),""))</f>
        <v/>
      </c>
      <c r="I10" s="36" t="str">
        <f aca="false">IF(OR($B10="",$C10=""),"",COUNTIFS(매매일지!$B:$B,"&gt;="&amp;$B10,매매일지!$B:$B,"&lt;="&amp;$C10,매매일지!$R:$R,"위반"))</f>
        <v/>
      </c>
      <c r="J10" s="44"/>
      <c r="K10" s="44"/>
      <c r="L10" s="44"/>
    </row>
    <row r="11" customFormat="false" ht="15" hidden="false" customHeight="false" outlineLevel="0" collapsed="false">
      <c r="A11" s="28"/>
      <c r="B11" s="29"/>
      <c r="C11" s="29"/>
      <c r="D11" s="36" t="str">
        <f aca="false">IF(OR($B11="",$C11=""),"",COUNTIFS(매매일지!$B:$B,"&gt;="&amp;$B11,매매일지!$B:$B,"&lt;="&amp;$C11))</f>
        <v/>
      </c>
      <c r="E11" s="34" t="str">
        <f aca="false">IF(OR($B11="",$C11=""),"",SUMIFS(일일PnL!$F:$F,일일PnL!$A:$A,"&gt;="&amp;$B11,일일PnL!$A:$A,"&lt;="&amp;$C11))</f>
        <v/>
      </c>
      <c r="F11" s="34" t="str">
        <f aca="false">IF(OR($B11="",$C11=""),"",SUMIFS(일일PnL!$G:$G,일일PnL!$A:$A,"&gt;="&amp;$B11,일일PnL!$A:$A,"&lt;="&amp;$C11))</f>
        <v/>
      </c>
      <c r="G11" s="35" t="str">
        <f aca="false">IF(OR($B11="",$C11=""),"",IFERROR(AVERAGEIFS(매매일지!$P:$P,매매일지!$B:$B,"&gt;="&amp;$B11,매매일지!$B:$B,"&lt;="&amp;$C11),""))</f>
        <v/>
      </c>
      <c r="H11" s="35" t="str">
        <f aca="false">IF(OR($B11="",$C11=""),"",IFERROR(AVERAGEIFS(매매일지!$Q:$Q,매매일지!$B:$B,"&gt;="&amp;$B11,매매일지!$B:$B,"&lt;="&amp;$C11),""))</f>
        <v/>
      </c>
      <c r="I11" s="36" t="str">
        <f aca="false">IF(OR($B11="",$C11=""),"",COUNTIFS(매매일지!$B:$B,"&gt;="&amp;$B11,매매일지!$B:$B,"&lt;="&amp;$C11,매매일지!$R:$R,"위반"))</f>
        <v/>
      </c>
      <c r="J11" s="44"/>
      <c r="K11" s="44"/>
      <c r="L11" s="44"/>
    </row>
    <row r="12" customFormat="false" ht="15" hidden="false" customHeight="false" outlineLevel="0" collapsed="false">
      <c r="A12" s="28"/>
      <c r="B12" s="29"/>
      <c r="C12" s="29"/>
      <c r="D12" s="36" t="str">
        <f aca="false">IF(OR($B12="",$C12=""),"",COUNTIFS(매매일지!$B:$B,"&gt;="&amp;$B12,매매일지!$B:$B,"&lt;="&amp;$C12))</f>
        <v/>
      </c>
      <c r="E12" s="34" t="str">
        <f aca="false">IF(OR($B12="",$C12=""),"",SUMIFS(일일PnL!$F:$F,일일PnL!$A:$A,"&gt;="&amp;$B12,일일PnL!$A:$A,"&lt;="&amp;$C12))</f>
        <v/>
      </c>
      <c r="F12" s="34" t="str">
        <f aca="false">IF(OR($B12="",$C12=""),"",SUMIFS(일일PnL!$G:$G,일일PnL!$A:$A,"&gt;="&amp;$B12,일일PnL!$A:$A,"&lt;="&amp;$C12))</f>
        <v/>
      </c>
      <c r="G12" s="35" t="str">
        <f aca="false">IF(OR($B12="",$C12=""),"",IFERROR(AVERAGEIFS(매매일지!$P:$P,매매일지!$B:$B,"&gt;="&amp;$B12,매매일지!$B:$B,"&lt;="&amp;$C12),""))</f>
        <v/>
      </c>
      <c r="H12" s="35" t="str">
        <f aca="false">IF(OR($B12="",$C12=""),"",IFERROR(AVERAGEIFS(매매일지!$Q:$Q,매매일지!$B:$B,"&gt;="&amp;$B12,매매일지!$B:$B,"&lt;="&amp;$C12),""))</f>
        <v/>
      </c>
      <c r="I12" s="36" t="str">
        <f aca="false">IF(OR($B12="",$C12=""),"",COUNTIFS(매매일지!$B:$B,"&gt;="&amp;$B12,매매일지!$B:$B,"&lt;="&amp;$C12,매매일지!$R:$R,"위반"))</f>
        <v/>
      </c>
      <c r="J12" s="44"/>
      <c r="K12" s="44"/>
      <c r="L12" s="44"/>
    </row>
    <row r="13" customFormat="false" ht="15" hidden="false" customHeight="false" outlineLevel="0" collapsed="false">
      <c r="A13" s="28"/>
      <c r="B13" s="29"/>
      <c r="C13" s="29"/>
      <c r="D13" s="36" t="str">
        <f aca="false">IF(OR($B13="",$C13=""),"",COUNTIFS(매매일지!$B:$B,"&gt;="&amp;$B13,매매일지!$B:$B,"&lt;="&amp;$C13))</f>
        <v/>
      </c>
      <c r="E13" s="34" t="str">
        <f aca="false">IF(OR($B13="",$C13=""),"",SUMIFS(일일PnL!$F:$F,일일PnL!$A:$A,"&gt;="&amp;$B13,일일PnL!$A:$A,"&lt;="&amp;$C13))</f>
        <v/>
      </c>
      <c r="F13" s="34" t="str">
        <f aca="false">IF(OR($B13="",$C13=""),"",SUMIFS(일일PnL!$G:$G,일일PnL!$A:$A,"&gt;="&amp;$B13,일일PnL!$A:$A,"&lt;="&amp;$C13))</f>
        <v/>
      </c>
      <c r="G13" s="35" t="str">
        <f aca="false">IF(OR($B13="",$C13=""),"",IFERROR(AVERAGEIFS(매매일지!$P:$P,매매일지!$B:$B,"&gt;="&amp;$B13,매매일지!$B:$B,"&lt;="&amp;$C13),""))</f>
        <v/>
      </c>
      <c r="H13" s="35" t="str">
        <f aca="false">IF(OR($B13="",$C13=""),"",IFERROR(AVERAGEIFS(매매일지!$Q:$Q,매매일지!$B:$B,"&gt;="&amp;$B13,매매일지!$B:$B,"&lt;="&amp;$C13),""))</f>
        <v/>
      </c>
      <c r="I13" s="36" t="str">
        <f aca="false">IF(OR($B13="",$C13=""),"",COUNTIFS(매매일지!$B:$B,"&gt;="&amp;$B13,매매일지!$B:$B,"&lt;="&amp;$C13,매매일지!$R:$R,"위반"))</f>
        <v/>
      </c>
      <c r="J13" s="44"/>
      <c r="K13" s="44"/>
      <c r="L13" s="44"/>
    </row>
    <row r="14" customFormat="false" ht="15" hidden="false" customHeight="false" outlineLevel="0" collapsed="false">
      <c r="A14" s="28"/>
      <c r="B14" s="29"/>
      <c r="C14" s="29"/>
      <c r="D14" s="36" t="str">
        <f aca="false">IF(OR($B14="",$C14=""),"",COUNTIFS(매매일지!$B:$B,"&gt;="&amp;$B14,매매일지!$B:$B,"&lt;="&amp;$C14))</f>
        <v/>
      </c>
      <c r="E14" s="34" t="str">
        <f aca="false">IF(OR($B14="",$C14=""),"",SUMIFS(일일PnL!$F:$F,일일PnL!$A:$A,"&gt;="&amp;$B14,일일PnL!$A:$A,"&lt;="&amp;$C14))</f>
        <v/>
      </c>
      <c r="F14" s="34" t="str">
        <f aca="false">IF(OR($B14="",$C14=""),"",SUMIFS(일일PnL!$G:$G,일일PnL!$A:$A,"&gt;="&amp;$B14,일일PnL!$A:$A,"&lt;="&amp;$C14))</f>
        <v/>
      </c>
      <c r="G14" s="35" t="str">
        <f aca="false">IF(OR($B14="",$C14=""),"",IFERROR(AVERAGEIFS(매매일지!$P:$P,매매일지!$B:$B,"&gt;="&amp;$B14,매매일지!$B:$B,"&lt;="&amp;$C14),""))</f>
        <v/>
      </c>
      <c r="H14" s="35" t="str">
        <f aca="false">IF(OR($B14="",$C14=""),"",IFERROR(AVERAGEIFS(매매일지!$Q:$Q,매매일지!$B:$B,"&gt;="&amp;$B14,매매일지!$B:$B,"&lt;="&amp;$C14),""))</f>
        <v/>
      </c>
      <c r="I14" s="36" t="str">
        <f aca="false">IF(OR($B14="",$C14=""),"",COUNTIFS(매매일지!$B:$B,"&gt;="&amp;$B14,매매일지!$B:$B,"&lt;="&amp;$C14,매매일지!$R:$R,"위반"))</f>
        <v/>
      </c>
      <c r="J14" s="44"/>
      <c r="K14" s="44"/>
      <c r="L14" s="44"/>
    </row>
    <row r="15" customFormat="false" ht="15" hidden="false" customHeight="false" outlineLevel="0" collapsed="false">
      <c r="A15" s="28"/>
      <c r="B15" s="29"/>
      <c r="C15" s="29"/>
      <c r="D15" s="36" t="str">
        <f aca="false">IF(OR($B15="",$C15=""),"",COUNTIFS(매매일지!$B:$B,"&gt;="&amp;$B15,매매일지!$B:$B,"&lt;="&amp;$C15))</f>
        <v/>
      </c>
      <c r="E15" s="34" t="str">
        <f aca="false">IF(OR($B15="",$C15=""),"",SUMIFS(일일PnL!$F:$F,일일PnL!$A:$A,"&gt;="&amp;$B15,일일PnL!$A:$A,"&lt;="&amp;$C15))</f>
        <v/>
      </c>
      <c r="F15" s="34" t="str">
        <f aca="false">IF(OR($B15="",$C15=""),"",SUMIFS(일일PnL!$G:$G,일일PnL!$A:$A,"&gt;="&amp;$B15,일일PnL!$A:$A,"&lt;="&amp;$C15))</f>
        <v/>
      </c>
      <c r="G15" s="35" t="str">
        <f aca="false">IF(OR($B15="",$C15=""),"",IFERROR(AVERAGEIFS(매매일지!$P:$P,매매일지!$B:$B,"&gt;="&amp;$B15,매매일지!$B:$B,"&lt;="&amp;$C15),""))</f>
        <v/>
      </c>
      <c r="H15" s="35" t="str">
        <f aca="false">IF(OR($B15="",$C15=""),"",IFERROR(AVERAGEIFS(매매일지!$Q:$Q,매매일지!$B:$B,"&gt;="&amp;$B15,매매일지!$B:$B,"&lt;="&amp;$C15),""))</f>
        <v/>
      </c>
      <c r="I15" s="36" t="str">
        <f aca="false">IF(OR($B15="",$C15=""),"",COUNTIFS(매매일지!$B:$B,"&gt;="&amp;$B15,매매일지!$B:$B,"&lt;="&amp;$C15,매매일지!$R:$R,"위반"))</f>
        <v/>
      </c>
      <c r="J15" s="44"/>
      <c r="K15" s="44"/>
      <c r="L15" s="44"/>
    </row>
    <row r="16" customFormat="false" ht="15" hidden="false" customHeight="false" outlineLevel="0" collapsed="false">
      <c r="A16" s="28"/>
      <c r="B16" s="29"/>
      <c r="C16" s="29"/>
      <c r="D16" s="36" t="str">
        <f aca="false">IF(OR($B16="",$C16=""),"",COUNTIFS(매매일지!$B:$B,"&gt;="&amp;$B16,매매일지!$B:$B,"&lt;="&amp;$C16))</f>
        <v/>
      </c>
      <c r="E16" s="34" t="str">
        <f aca="false">IF(OR($B16="",$C16=""),"",SUMIFS(일일PnL!$F:$F,일일PnL!$A:$A,"&gt;="&amp;$B16,일일PnL!$A:$A,"&lt;="&amp;$C16))</f>
        <v/>
      </c>
      <c r="F16" s="34" t="str">
        <f aca="false">IF(OR($B16="",$C16=""),"",SUMIFS(일일PnL!$G:$G,일일PnL!$A:$A,"&gt;="&amp;$B16,일일PnL!$A:$A,"&lt;="&amp;$C16))</f>
        <v/>
      </c>
      <c r="G16" s="35" t="str">
        <f aca="false">IF(OR($B16="",$C16=""),"",IFERROR(AVERAGEIFS(매매일지!$P:$P,매매일지!$B:$B,"&gt;="&amp;$B16,매매일지!$B:$B,"&lt;="&amp;$C16),""))</f>
        <v/>
      </c>
      <c r="H16" s="35" t="str">
        <f aca="false">IF(OR($B16="",$C16=""),"",IFERROR(AVERAGEIFS(매매일지!$Q:$Q,매매일지!$B:$B,"&gt;="&amp;$B16,매매일지!$B:$B,"&lt;="&amp;$C16),""))</f>
        <v/>
      </c>
      <c r="I16" s="36" t="str">
        <f aca="false">IF(OR($B16="",$C16=""),"",COUNTIFS(매매일지!$B:$B,"&gt;="&amp;$B16,매매일지!$B:$B,"&lt;="&amp;$C16,매매일지!$R:$R,"위반"))</f>
        <v/>
      </c>
      <c r="J16" s="44"/>
      <c r="K16" s="44"/>
      <c r="L16" s="44"/>
    </row>
    <row r="17" customFormat="false" ht="15" hidden="false" customHeight="false" outlineLevel="0" collapsed="false">
      <c r="A17" s="28"/>
      <c r="B17" s="29"/>
      <c r="C17" s="29"/>
      <c r="D17" s="36" t="str">
        <f aca="false">IF(OR($B17="",$C17=""),"",COUNTIFS(매매일지!$B:$B,"&gt;="&amp;$B17,매매일지!$B:$B,"&lt;="&amp;$C17))</f>
        <v/>
      </c>
      <c r="E17" s="34" t="str">
        <f aca="false">IF(OR($B17="",$C17=""),"",SUMIFS(일일PnL!$F:$F,일일PnL!$A:$A,"&gt;="&amp;$B17,일일PnL!$A:$A,"&lt;="&amp;$C17))</f>
        <v/>
      </c>
      <c r="F17" s="34" t="str">
        <f aca="false">IF(OR($B17="",$C17=""),"",SUMIFS(일일PnL!$G:$G,일일PnL!$A:$A,"&gt;="&amp;$B17,일일PnL!$A:$A,"&lt;="&amp;$C17))</f>
        <v/>
      </c>
      <c r="G17" s="35" t="str">
        <f aca="false">IF(OR($B17="",$C17=""),"",IFERROR(AVERAGEIFS(매매일지!$P:$P,매매일지!$B:$B,"&gt;="&amp;$B17,매매일지!$B:$B,"&lt;="&amp;$C17),""))</f>
        <v/>
      </c>
      <c r="H17" s="35" t="str">
        <f aca="false">IF(OR($B17="",$C17=""),"",IFERROR(AVERAGEIFS(매매일지!$Q:$Q,매매일지!$B:$B,"&gt;="&amp;$B17,매매일지!$B:$B,"&lt;="&amp;$C17),""))</f>
        <v/>
      </c>
      <c r="I17" s="36" t="str">
        <f aca="false">IF(OR($B17="",$C17=""),"",COUNTIFS(매매일지!$B:$B,"&gt;="&amp;$B17,매매일지!$B:$B,"&lt;="&amp;$C17,매매일지!$R:$R,"위반"))</f>
        <v/>
      </c>
      <c r="J17" s="44"/>
      <c r="K17" s="44"/>
      <c r="L17" s="44"/>
    </row>
    <row r="18" customFormat="false" ht="15" hidden="false" customHeight="false" outlineLevel="0" collapsed="false">
      <c r="A18" s="28"/>
      <c r="B18" s="29"/>
      <c r="C18" s="29"/>
      <c r="D18" s="36" t="str">
        <f aca="false">IF(OR($B18="",$C18=""),"",COUNTIFS(매매일지!$B:$B,"&gt;="&amp;$B18,매매일지!$B:$B,"&lt;="&amp;$C18))</f>
        <v/>
      </c>
      <c r="E18" s="34" t="str">
        <f aca="false">IF(OR($B18="",$C18=""),"",SUMIFS(일일PnL!$F:$F,일일PnL!$A:$A,"&gt;="&amp;$B18,일일PnL!$A:$A,"&lt;="&amp;$C18))</f>
        <v/>
      </c>
      <c r="F18" s="34" t="str">
        <f aca="false">IF(OR($B18="",$C18=""),"",SUMIFS(일일PnL!$G:$G,일일PnL!$A:$A,"&gt;="&amp;$B18,일일PnL!$A:$A,"&lt;="&amp;$C18))</f>
        <v/>
      </c>
      <c r="G18" s="35" t="str">
        <f aca="false">IF(OR($B18="",$C18=""),"",IFERROR(AVERAGEIFS(매매일지!$P:$P,매매일지!$B:$B,"&gt;="&amp;$B18,매매일지!$B:$B,"&lt;="&amp;$C18),""))</f>
        <v/>
      </c>
      <c r="H18" s="35" t="str">
        <f aca="false">IF(OR($B18="",$C18=""),"",IFERROR(AVERAGEIFS(매매일지!$Q:$Q,매매일지!$B:$B,"&gt;="&amp;$B18,매매일지!$B:$B,"&lt;="&amp;$C18),""))</f>
        <v/>
      </c>
      <c r="I18" s="36" t="str">
        <f aca="false">IF(OR($B18="",$C18=""),"",COUNTIFS(매매일지!$B:$B,"&gt;="&amp;$B18,매매일지!$B:$B,"&lt;="&amp;$C18,매매일지!$R:$R,"위반"))</f>
        <v/>
      </c>
      <c r="J18" s="44"/>
      <c r="K18" s="44"/>
      <c r="L18" s="44"/>
    </row>
    <row r="19" customFormat="false" ht="15" hidden="false" customHeight="false" outlineLevel="0" collapsed="false">
      <c r="A19" s="28"/>
      <c r="B19" s="29"/>
      <c r="C19" s="29"/>
      <c r="D19" s="36" t="str">
        <f aca="false">IF(OR($B19="",$C19=""),"",COUNTIFS(매매일지!$B:$B,"&gt;="&amp;$B19,매매일지!$B:$B,"&lt;="&amp;$C19))</f>
        <v/>
      </c>
      <c r="E19" s="34" t="str">
        <f aca="false">IF(OR($B19="",$C19=""),"",SUMIFS(일일PnL!$F:$F,일일PnL!$A:$A,"&gt;="&amp;$B19,일일PnL!$A:$A,"&lt;="&amp;$C19))</f>
        <v/>
      </c>
      <c r="F19" s="34" t="str">
        <f aca="false">IF(OR($B19="",$C19=""),"",SUMIFS(일일PnL!$G:$G,일일PnL!$A:$A,"&gt;="&amp;$B19,일일PnL!$A:$A,"&lt;="&amp;$C19))</f>
        <v/>
      </c>
      <c r="G19" s="35" t="str">
        <f aca="false">IF(OR($B19="",$C19=""),"",IFERROR(AVERAGEIFS(매매일지!$P:$P,매매일지!$B:$B,"&gt;="&amp;$B19,매매일지!$B:$B,"&lt;="&amp;$C19),""))</f>
        <v/>
      </c>
      <c r="H19" s="35" t="str">
        <f aca="false">IF(OR($B19="",$C19=""),"",IFERROR(AVERAGEIFS(매매일지!$Q:$Q,매매일지!$B:$B,"&gt;="&amp;$B19,매매일지!$B:$B,"&lt;="&amp;$C19),""))</f>
        <v/>
      </c>
      <c r="I19" s="36" t="str">
        <f aca="false">IF(OR($B19="",$C19=""),"",COUNTIFS(매매일지!$B:$B,"&gt;="&amp;$B19,매매일지!$B:$B,"&lt;="&amp;$C19,매매일지!$R:$R,"위반"))</f>
        <v/>
      </c>
      <c r="J19" s="44"/>
      <c r="K19" s="44"/>
      <c r="L19" s="44"/>
    </row>
    <row r="20" customFormat="false" ht="15" hidden="false" customHeight="false" outlineLevel="0" collapsed="false">
      <c r="A20" s="28"/>
      <c r="B20" s="29"/>
      <c r="C20" s="29"/>
      <c r="D20" s="36" t="str">
        <f aca="false">IF(OR($B20="",$C20=""),"",COUNTIFS(매매일지!$B:$B,"&gt;="&amp;$B20,매매일지!$B:$B,"&lt;="&amp;$C20))</f>
        <v/>
      </c>
      <c r="E20" s="34" t="str">
        <f aca="false">IF(OR($B20="",$C20=""),"",SUMIFS(일일PnL!$F:$F,일일PnL!$A:$A,"&gt;="&amp;$B20,일일PnL!$A:$A,"&lt;="&amp;$C20))</f>
        <v/>
      </c>
      <c r="F20" s="34" t="str">
        <f aca="false">IF(OR($B20="",$C20=""),"",SUMIFS(일일PnL!$G:$G,일일PnL!$A:$A,"&gt;="&amp;$B20,일일PnL!$A:$A,"&lt;="&amp;$C20))</f>
        <v/>
      </c>
      <c r="G20" s="35" t="str">
        <f aca="false">IF(OR($B20="",$C20=""),"",IFERROR(AVERAGEIFS(매매일지!$P:$P,매매일지!$B:$B,"&gt;="&amp;$B20,매매일지!$B:$B,"&lt;="&amp;$C20),""))</f>
        <v/>
      </c>
      <c r="H20" s="35" t="str">
        <f aca="false">IF(OR($B20="",$C20=""),"",IFERROR(AVERAGEIFS(매매일지!$Q:$Q,매매일지!$B:$B,"&gt;="&amp;$B20,매매일지!$B:$B,"&lt;="&amp;$C20),""))</f>
        <v/>
      </c>
      <c r="I20" s="36" t="str">
        <f aca="false">IF(OR($B20="",$C20=""),"",COUNTIFS(매매일지!$B:$B,"&gt;="&amp;$B20,매매일지!$B:$B,"&lt;="&amp;$C20,매매일지!$R:$R,"위반"))</f>
        <v/>
      </c>
      <c r="J20" s="44"/>
      <c r="K20" s="44"/>
      <c r="L20" s="44"/>
    </row>
    <row r="21" customFormat="false" ht="15" hidden="false" customHeight="false" outlineLevel="0" collapsed="false">
      <c r="A21" s="28"/>
      <c r="B21" s="29"/>
      <c r="C21" s="29"/>
      <c r="D21" s="36" t="str">
        <f aca="false">IF(OR($B21="",$C21=""),"",COUNTIFS(매매일지!$B:$B,"&gt;="&amp;$B21,매매일지!$B:$B,"&lt;="&amp;$C21))</f>
        <v/>
      </c>
      <c r="E21" s="34" t="str">
        <f aca="false">IF(OR($B21="",$C21=""),"",SUMIFS(일일PnL!$F:$F,일일PnL!$A:$A,"&gt;="&amp;$B21,일일PnL!$A:$A,"&lt;="&amp;$C21))</f>
        <v/>
      </c>
      <c r="F21" s="34" t="str">
        <f aca="false">IF(OR($B21="",$C21=""),"",SUMIFS(일일PnL!$G:$G,일일PnL!$A:$A,"&gt;="&amp;$B21,일일PnL!$A:$A,"&lt;="&amp;$C21))</f>
        <v/>
      </c>
      <c r="G21" s="35" t="str">
        <f aca="false">IF(OR($B21="",$C21=""),"",IFERROR(AVERAGEIFS(매매일지!$P:$P,매매일지!$B:$B,"&gt;="&amp;$B21,매매일지!$B:$B,"&lt;="&amp;$C21),""))</f>
        <v/>
      </c>
      <c r="H21" s="35" t="str">
        <f aca="false">IF(OR($B21="",$C21=""),"",IFERROR(AVERAGEIFS(매매일지!$Q:$Q,매매일지!$B:$B,"&gt;="&amp;$B21,매매일지!$B:$B,"&lt;="&amp;$C21),""))</f>
        <v/>
      </c>
      <c r="I21" s="36" t="str">
        <f aca="false">IF(OR($B21="",$C21=""),"",COUNTIFS(매매일지!$B:$B,"&gt;="&amp;$B21,매매일지!$B:$B,"&lt;="&amp;$C21,매매일지!$R:$R,"위반"))</f>
        <v/>
      </c>
      <c r="J21" s="44"/>
      <c r="K21" s="44"/>
      <c r="L21" s="44"/>
    </row>
    <row r="22" customFormat="false" ht="15" hidden="false" customHeight="false" outlineLevel="0" collapsed="false">
      <c r="A22" s="28"/>
      <c r="B22" s="29"/>
      <c r="C22" s="29"/>
      <c r="D22" s="36" t="str">
        <f aca="false">IF(OR($B22="",$C22=""),"",COUNTIFS(매매일지!$B:$B,"&gt;="&amp;$B22,매매일지!$B:$B,"&lt;="&amp;$C22))</f>
        <v/>
      </c>
      <c r="E22" s="34" t="str">
        <f aca="false">IF(OR($B22="",$C22=""),"",SUMIFS(일일PnL!$F:$F,일일PnL!$A:$A,"&gt;="&amp;$B22,일일PnL!$A:$A,"&lt;="&amp;$C22))</f>
        <v/>
      </c>
      <c r="F22" s="34" t="str">
        <f aca="false">IF(OR($B22="",$C22=""),"",SUMIFS(일일PnL!$G:$G,일일PnL!$A:$A,"&gt;="&amp;$B22,일일PnL!$A:$A,"&lt;="&amp;$C22))</f>
        <v/>
      </c>
      <c r="G22" s="35" t="str">
        <f aca="false">IF(OR($B22="",$C22=""),"",IFERROR(AVERAGEIFS(매매일지!$P:$P,매매일지!$B:$B,"&gt;="&amp;$B22,매매일지!$B:$B,"&lt;="&amp;$C22),""))</f>
        <v/>
      </c>
      <c r="H22" s="35" t="str">
        <f aca="false">IF(OR($B22="",$C22=""),"",IFERROR(AVERAGEIFS(매매일지!$Q:$Q,매매일지!$B:$B,"&gt;="&amp;$B22,매매일지!$B:$B,"&lt;="&amp;$C22),""))</f>
        <v/>
      </c>
      <c r="I22" s="36" t="str">
        <f aca="false">IF(OR($B22="",$C22=""),"",COUNTIFS(매매일지!$B:$B,"&gt;="&amp;$B22,매매일지!$B:$B,"&lt;="&amp;$C22,매매일지!$R:$R,"위반"))</f>
        <v/>
      </c>
      <c r="J22" s="44"/>
      <c r="K22" s="44"/>
      <c r="L22" s="44"/>
    </row>
    <row r="23" customFormat="false" ht="15" hidden="false" customHeight="false" outlineLevel="0" collapsed="false">
      <c r="A23" s="28"/>
      <c r="B23" s="29"/>
      <c r="C23" s="29"/>
      <c r="D23" s="36" t="str">
        <f aca="false">IF(OR($B23="",$C23=""),"",COUNTIFS(매매일지!$B:$B,"&gt;="&amp;$B23,매매일지!$B:$B,"&lt;="&amp;$C23))</f>
        <v/>
      </c>
      <c r="E23" s="34" t="str">
        <f aca="false">IF(OR($B23="",$C23=""),"",SUMIFS(일일PnL!$F:$F,일일PnL!$A:$A,"&gt;="&amp;$B23,일일PnL!$A:$A,"&lt;="&amp;$C23))</f>
        <v/>
      </c>
      <c r="F23" s="34" t="str">
        <f aca="false">IF(OR($B23="",$C23=""),"",SUMIFS(일일PnL!$G:$G,일일PnL!$A:$A,"&gt;="&amp;$B23,일일PnL!$A:$A,"&lt;="&amp;$C23))</f>
        <v/>
      </c>
      <c r="G23" s="35" t="str">
        <f aca="false">IF(OR($B23="",$C23=""),"",IFERROR(AVERAGEIFS(매매일지!$P:$P,매매일지!$B:$B,"&gt;="&amp;$B23,매매일지!$B:$B,"&lt;="&amp;$C23),""))</f>
        <v/>
      </c>
      <c r="H23" s="35" t="str">
        <f aca="false">IF(OR($B23="",$C23=""),"",IFERROR(AVERAGEIFS(매매일지!$Q:$Q,매매일지!$B:$B,"&gt;="&amp;$B23,매매일지!$B:$B,"&lt;="&amp;$C23),""))</f>
        <v/>
      </c>
      <c r="I23" s="36" t="str">
        <f aca="false">IF(OR($B23="",$C23=""),"",COUNTIFS(매매일지!$B:$B,"&gt;="&amp;$B23,매매일지!$B:$B,"&lt;="&amp;$C23,매매일지!$R:$R,"위반"))</f>
        <v/>
      </c>
      <c r="J23" s="44"/>
      <c r="K23" s="44"/>
      <c r="L23" s="44"/>
    </row>
    <row r="24" customFormat="false" ht="15" hidden="false" customHeight="false" outlineLevel="0" collapsed="false">
      <c r="A24" s="28"/>
      <c r="B24" s="29"/>
      <c r="C24" s="29"/>
      <c r="D24" s="36" t="str">
        <f aca="false">IF(OR($B24="",$C24=""),"",COUNTIFS(매매일지!$B:$B,"&gt;="&amp;$B24,매매일지!$B:$B,"&lt;="&amp;$C24))</f>
        <v/>
      </c>
      <c r="E24" s="34" t="str">
        <f aca="false">IF(OR($B24="",$C24=""),"",SUMIFS(일일PnL!$F:$F,일일PnL!$A:$A,"&gt;="&amp;$B24,일일PnL!$A:$A,"&lt;="&amp;$C24))</f>
        <v/>
      </c>
      <c r="F24" s="34" t="str">
        <f aca="false">IF(OR($B24="",$C24=""),"",SUMIFS(일일PnL!$G:$G,일일PnL!$A:$A,"&gt;="&amp;$B24,일일PnL!$A:$A,"&lt;="&amp;$C24))</f>
        <v/>
      </c>
      <c r="G24" s="35" t="str">
        <f aca="false">IF(OR($B24="",$C24=""),"",IFERROR(AVERAGEIFS(매매일지!$P:$P,매매일지!$B:$B,"&gt;="&amp;$B24,매매일지!$B:$B,"&lt;="&amp;$C24),""))</f>
        <v/>
      </c>
      <c r="H24" s="35" t="str">
        <f aca="false">IF(OR($B24="",$C24=""),"",IFERROR(AVERAGEIFS(매매일지!$Q:$Q,매매일지!$B:$B,"&gt;="&amp;$B24,매매일지!$B:$B,"&lt;="&amp;$C24),""))</f>
        <v/>
      </c>
      <c r="I24" s="36" t="str">
        <f aca="false">IF(OR($B24="",$C24=""),"",COUNTIFS(매매일지!$B:$B,"&gt;="&amp;$B24,매매일지!$B:$B,"&lt;="&amp;$C24,매매일지!$R:$R,"위반"))</f>
        <v/>
      </c>
      <c r="J24" s="44"/>
      <c r="K24" s="44"/>
      <c r="L24" s="44"/>
    </row>
    <row r="25" customFormat="false" ht="15" hidden="false" customHeight="false" outlineLevel="0" collapsed="false">
      <c r="A25" s="28"/>
      <c r="B25" s="29"/>
      <c r="C25" s="29"/>
      <c r="D25" s="36" t="str">
        <f aca="false">IF(OR($B25="",$C25=""),"",COUNTIFS(매매일지!$B:$B,"&gt;="&amp;$B25,매매일지!$B:$B,"&lt;="&amp;$C25))</f>
        <v/>
      </c>
      <c r="E25" s="34" t="str">
        <f aca="false">IF(OR($B25="",$C25=""),"",SUMIFS(일일PnL!$F:$F,일일PnL!$A:$A,"&gt;="&amp;$B25,일일PnL!$A:$A,"&lt;="&amp;$C25))</f>
        <v/>
      </c>
      <c r="F25" s="34" t="str">
        <f aca="false">IF(OR($B25="",$C25=""),"",SUMIFS(일일PnL!$G:$G,일일PnL!$A:$A,"&gt;="&amp;$B25,일일PnL!$A:$A,"&lt;="&amp;$C25))</f>
        <v/>
      </c>
      <c r="G25" s="35" t="str">
        <f aca="false">IF(OR($B25="",$C25=""),"",IFERROR(AVERAGEIFS(매매일지!$P:$P,매매일지!$B:$B,"&gt;="&amp;$B25,매매일지!$B:$B,"&lt;="&amp;$C25),""))</f>
        <v/>
      </c>
      <c r="H25" s="35" t="str">
        <f aca="false">IF(OR($B25="",$C25=""),"",IFERROR(AVERAGEIFS(매매일지!$Q:$Q,매매일지!$B:$B,"&gt;="&amp;$B25,매매일지!$B:$B,"&lt;="&amp;$C25),""))</f>
        <v/>
      </c>
      <c r="I25" s="36" t="str">
        <f aca="false">IF(OR($B25="",$C25=""),"",COUNTIFS(매매일지!$B:$B,"&gt;="&amp;$B25,매매일지!$B:$B,"&lt;="&amp;$C25,매매일지!$R:$R,"위반"))</f>
        <v/>
      </c>
      <c r="J25" s="44"/>
      <c r="K25" s="44"/>
      <c r="L25" s="44"/>
    </row>
    <row r="26" customFormat="false" ht="15" hidden="false" customHeight="false" outlineLevel="0" collapsed="false">
      <c r="A26" s="28"/>
      <c r="B26" s="29"/>
      <c r="C26" s="29"/>
      <c r="D26" s="36" t="str">
        <f aca="false">IF(OR($B26="",$C26=""),"",COUNTIFS(매매일지!$B:$B,"&gt;="&amp;$B26,매매일지!$B:$B,"&lt;="&amp;$C26))</f>
        <v/>
      </c>
      <c r="E26" s="34" t="str">
        <f aca="false">IF(OR($B26="",$C26=""),"",SUMIFS(일일PnL!$F:$F,일일PnL!$A:$A,"&gt;="&amp;$B26,일일PnL!$A:$A,"&lt;="&amp;$C26))</f>
        <v/>
      </c>
      <c r="F26" s="34" t="str">
        <f aca="false">IF(OR($B26="",$C26=""),"",SUMIFS(일일PnL!$G:$G,일일PnL!$A:$A,"&gt;="&amp;$B26,일일PnL!$A:$A,"&lt;="&amp;$C26))</f>
        <v/>
      </c>
      <c r="G26" s="35" t="str">
        <f aca="false">IF(OR($B26="",$C26=""),"",IFERROR(AVERAGEIFS(매매일지!$P:$P,매매일지!$B:$B,"&gt;="&amp;$B26,매매일지!$B:$B,"&lt;="&amp;$C26),""))</f>
        <v/>
      </c>
      <c r="H26" s="35" t="str">
        <f aca="false">IF(OR($B26="",$C26=""),"",IFERROR(AVERAGEIFS(매매일지!$Q:$Q,매매일지!$B:$B,"&gt;="&amp;$B26,매매일지!$B:$B,"&lt;="&amp;$C26),""))</f>
        <v/>
      </c>
      <c r="I26" s="36" t="str">
        <f aca="false">IF(OR($B26="",$C26=""),"",COUNTIFS(매매일지!$B:$B,"&gt;="&amp;$B26,매매일지!$B:$B,"&lt;="&amp;$C26,매매일지!$R:$R,"위반"))</f>
        <v/>
      </c>
      <c r="J26" s="44"/>
      <c r="K26" s="44"/>
      <c r="L26" s="44"/>
    </row>
    <row r="27" customFormat="false" ht="15" hidden="false" customHeight="false" outlineLevel="0" collapsed="false">
      <c r="A27" s="28"/>
      <c r="B27" s="29"/>
      <c r="C27" s="29"/>
      <c r="D27" s="36" t="str">
        <f aca="false">IF(OR($B27="",$C27=""),"",COUNTIFS(매매일지!$B:$B,"&gt;="&amp;$B27,매매일지!$B:$B,"&lt;="&amp;$C27))</f>
        <v/>
      </c>
      <c r="E27" s="34" t="str">
        <f aca="false">IF(OR($B27="",$C27=""),"",SUMIFS(일일PnL!$F:$F,일일PnL!$A:$A,"&gt;="&amp;$B27,일일PnL!$A:$A,"&lt;="&amp;$C27))</f>
        <v/>
      </c>
      <c r="F27" s="34" t="str">
        <f aca="false">IF(OR($B27="",$C27=""),"",SUMIFS(일일PnL!$G:$G,일일PnL!$A:$A,"&gt;="&amp;$B27,일일PnL!$A:$A,"&lt;="&amp;$C27))</f>
        <v/>
      </c>
      <c r="G27" s="35" t="str">
        <f aca="false">IF(OR($B27="",$C27=""),"",IFERROR(AVERAGEIFS(매매일지!$P:$P,매매일지!$B:$B,"&gt;="&amp;$B27,매매일지!$B:$B,"&lt;="&amp;$C27),""))</f>
        <v/>
      </c>
      <c r="H27" s="35" t="str">
        <f aca="false">IF(OR($B27="",$C27=""),"",IFERROR(AVERAGEIFS(매매일지!$Q:$Q,매매일지!$B:$B,"&gt;="&amp;$B27,매매일지!$B:$B,"&lt;="&amp;$C27),""))</f>
        <v/>
      </c>
      <c r="I27" s="36" t="str">
        <f aca="false">IF(OR($B27="",$C27=""),"",COUNTIFS(매매일지!$B:$B,"&gt;="&amp;$B27,매매일지!$B:$B,"&lt;="&amp;$C27,매매일지!$R:$R,"위반"))</f>
        <v/>
      </c>
      <c r="J27" s="44"/>
      <c r="K27" s="44"/>
      <c r="L27" s="44"/>
    </row>
    <row r="28" customFormat="false" ht="15" hidden="false" customHeight="false" outlineLevel="0" collapsed="false">
      <c r="A28" s="28"/>
      <c r="B28" s="29"/>
      <c r="C28" s="29"/>
      <c r="D28" s="36" t="str">
        <f aca="false">IF(OR($B28="",$C28=""),"",COUNTIFS(매매일지!$B:$B,"&gt;="&amp;$B28,매매일지!$B:$B,"&lt;="&amp;$C28))</f>
        <v/>
      </c>
      <c r="E28" s="34" t="str">
        <f aca="false">IF(OR($B28="",$C28=""),"",SUMIFS(일일PnL!$F:$F,일일PnL!$A:$A,"&gt;="&amp;$B28,일일PnL!$A:$A,"&lt;="&amp;$C28))</f>
        <v/>
      </c>
      <c r="F28" s="34" t="str">
        <f aca="false">IF(OR($B28="",$C28=""),"",SUMIFS(일일PnL!$G:$G,일일PnL!$A:$A,"&gt;="&amp;$B28,일일PnL!$A:$A,"&lt;="&amp;$C28))</f>
        <v/>
      </c>
      <c r="G28" s="35" t="str">
        <f aca="false">IF(OR($B28="",$C28=""),"",IFERROR(AVERAGEIFS(매매일지!$P:$P,매매일지!$B:$B,"&gt;="&amp;$B28,매매일지!$B:$B,"&lt;="&amp;$C28),""))</f>
        <v/>
      </c>
      <c r="H28" s="35" t="str">
        <f aca="false">IF(OR($B28="",$C28=""),"",IFERROR(AVERAGEIFS(매매일지!$Q:$Q,매매일지!$B:$B,"&gt;="&amp;$B28,매매일지!$B:$B,"&lt;="&amp;$C28),""))</f>
        <v/>
      </c>
      <c r="I28" s="36" t="str">
        <f aca="false">IF(OR($B28="",$C28=""),"",COUNTIFS(매매일지!$B:$B,"&gt;="&amp;$B28,매매일지!$B:$B,"&lt;="&amp;$C28,매매일지!$R:$R,"위반"))</f>
        <v/>
      </c>
      <c r="J28" s="44"/>
      <c r="K28" s="44"/>
      <c r="L28" s="44"/>
    </row>
    <row r="29" customFormat="false" ht="15" hidden="false" customHeight="false" outlineLevel="0" collapsed="false">
      <c r="A29" s="28"/>
      <c r="B29" s="29"/>
      <c r="C29" s="29"/>
      <c r="D29" s="36" t="str">
        <f aca="false">IF(OR($B29="",$C29=""),"",COUNTIFS(매매일지!$B:$B,"&gt;="&amp;$B29,매매일지!$B:$B,"&lt;="&amp;$C29))</f>
        <v/>
      </c>
      <c r="E29" s="34" t="str">
        <f aca="false">IF(OR($B29="",$C29=""),"",SUMIFS(일일PnL!$F:$F,일일PnL!$A:$A,"&gt;="&amp;$B29,일일PnL!$A:$A,"&lt;="&amp;$C29))</f>
        <v/>
      </c>
      <c r="F29" s="34" t="str">
        <f aca="false">IF(OR($B29="",$C29=""),"",SUMIFS(일일PnL!$G:$G,일일PnL!$A:$A,"&gt;="&amp;$B29,일일PnL!$A:$A,"&lt;="&amp;$C29))</f>
        <v/>
      </c>
      <c r="G29" s="35" t="str">
        <f aca="false">IF(OR($B29="",$C29=""),"",IFERROR(AVERAGEIFS(매매일지!$P:$P,매매일지!$B:$B,"&gt;="&amp;$B29,매매일지!$B:$B,"&lt;="&amp;$C29),""))</f>
        <v/>
      </c>
      <c r="H29" s="35" t="str">
        <f aca="false">IF(OR($B29="",$C29=""),"",IFERROR(AVERAGEIFS(매매일지!$Q:$Q,매매일지!$B:$B,"&gt;="&amp;$B29,매매일지!$B:$B,"&lt;="&amp;$C29),""))</f>
        <v/>
      </c>
      <c r="I29" s="36" t="str">
        <f aca="false">IF(OR($B29="",$C29=""),"",COUNTIFS(매매일지!$B:$B,"&gt;="&amp;$B29,매매일지!$B:$B,"&lt;="&amp;$C29,매매일지!$R:$R,"위반"))</f>
        <v/>
      </c>
      <c r="J29" s="44"/>
      <c r="K29" s="44"/>
      <c r="L29" s="44"/>
    </row>
    <row r="30" customFormat="false" ht="15" hidden="false" customHeight="false" outlineLevel="0" collapsed="false">
      <c r="A30" s="28"/>
      <c r="B30" s="29"/>
      <c r="C30" s="29"/>
      <c r="D30" s="36" t="str">
        <f aca="false">IF(OR($B30="",$C30=""),"",COUNTIFS(매매일지!$B:$B,"&gt;="&amp;$B30,매매일지!$B:$B,"&lt;="&amp;$C30))</f>
        <v/>
      </c>
      <c r="E30" s="34" t="str">
        <f aca="false">IF(OR($B30="",$C30=""),"",SUMIFS(일일PnL!$F:$F,일일PnL!$A:$A,"&gt;="&amp;$B30,일일PnL!$A:$A,"&lt;="&amp;$C30))</f>
        <v/>
      </c>
      <c r="F30" s="34" t="str">
        <f aca="false">IF(OR($B30="",$C30=""),"",SUMIFS(일일PnL!$G:$G,일일PnL!$A:$A,"&gt;="&amp;$B30,일일PnL!$A:$A,"&lt;="&amp;$C30))</f>
        <v/>
      </c>
      <c r="G30" s="35" t="str">
        <f aca="false">IF(OR($B30="",$C30=""),"",IFERROR(AVERAGEIFS(매매일지!$P:$P,매매일지!$B:$B,"&gt;="&amp;$B30,매매일지!$B:$B,"&lt;="&amp;$C30),""))</f>
        <v/>
      </c>
      <c r="H30" s="35" t="str">
        <f aca="false">IF(OR($B30="",$C30=""),"",IFERROR(AVERAGEIFS(매매일지!$Q:$Q,매매일지!$B:$B,"&gt;="&amp;$B30,매매일지!$B:$B,"&lt;="&amp;$C30),""))</f>
        <v/>
      </c>
      <c r="I30" s="36" t="str">
        <f aca="false">IF(OR($B30="",$C30=""),"",COUNTIFS(매매일지!$B:$B,"&gt;="&amp;$B30,매매일지!$B:$B,"&lt;="&amp;$C30,매매일지!$R:$R,"위반"))</f>
        <v/>
      </c>
      <c r="J30" s="44"/>
      <c r="K30" s="44"/>
      <c r="L30" s="44"/>
    </row>
    <row r="31" customFormat="false" ht="15" hidden="false" customHeight="false" outlineLevel="0" collapsed="false">
      <c r="A31" s="28"/>
      <c r="B31" s="29"/>
      <c r="C31" s="29"/>
      <c r="D31" s="36" t="str">
        <f aca="false">IF(OR($B31="",$C31=""),"",COUNTIFS(매매일지!$B:$B,"&gt;="&amp;$B31,매매일지!$B:$B,"&lt;="&amp;$C31))</f>
        <v/>
      </c>
      <c r="E31" s="34" t="str">
        <f aca="false">IF(OR($B31="",$C31=""),"",SUMIFS(일일PnL!$F:$F,일일PnL!$A:$A,"&gt;="&amp;$B31,일일PnL!$A:$A,"&lt;="&amp;$C31))</f>
        <v/>
      </c>
      <c r="F31" s="34" t="str">
        <f aca="false">IF(OR($B31="",$C31=""),"",SUMIFS(일일PnL!$G:$G,일일PnL!$A:$A,"&gt;="&amp;$B31,일일PnL!$A:$A,"&lt;="&amp;$C31))</f>
        <v/>
      </c>
      <c r="G31" s="35" t="str">
        <f aca="false">IF(OR($B31="",$C31=""),"",IFERROR(AVERAGEIFS(매매일지!$P:$P,매매일지!$B:$B,"&gt;="&amp;$B31,매매일지!$B:$B,"&lt;="&amp;$C31),""))</f>
        <v/>
      </c>
      <c r="H31" s="35" t="str">
        <f aca="false">IF(OR($B31="",$C31=""),"",IFERROR(AVERAGEIFS(매매일지!$Q:$Q,매매일지!$B:$B,"&gt;="&amp;$B31,매매일지!$B:$B,"&lt;="&amp;$C31),""))</f>
        <v/>
      </c>
      <c r="I31" s="36" t="str">
        <f aca="false">IF(OR($B31="",$C31=""),"",COUNTIFS(매매일지!$B:$B,"&gt;="&amp;$B31,매매일지!$B:$B,"&lt;="&amp;$C31,매매일지!$R:$R,"위반"))</f>
        <v/>
      </c>
      <c r="J31" s="44"/>
      <c r="K31" s="44"/>
      <c r="L31" s="44"/>
    </row>
    <row r="32" customFormat="false" ht="15" hidden="false" customHeight="false" outlineLevel="0" collapsed="false">
      <c r="A32" s="28"/>
      <c r="B32" s="29"/>
      <c r="C32" s="29"/>
      <c r="D32" s="36" t="str">
        <f aca="false">IF(OR($B32="",$C32=""),"",COUNTIFS(매매일지!$B:$B,"&gt;="&amp;$B32,매매일지!$B:$B,"&lt;="&amp;$C32))</f>
        <v/>
      </c>
      <c r="E32" s="34" t="str">
        <f aca="false">IF(OR($B32="",$C32=""),"",SUMIFS(일일PnL!$F:$F,일일PnL!$A:$A,"&gt;="&amp;$B32,일일PnL!$A:$A,"&lt;="&amp;$C32))</f>
        <v/>
      </c>
      <c r="F32" s="34" t="str">
        <f aca="false">IF(OR($B32="",$C32=""),"",SUMIFS(일일PnL!$G:$G,일일PnL!$A:$A,"&gt;="&amp;$B32,일일PnL!$A:$A,"&lt;="&amp;$C32))</f>
        <v/>
      </c>
      <c r="G32" s="35" t="str">
        <f aca="false">IF(OR($B32="",$C32=""),"",IFERROR(AVERAGEIFS(매매일지!$P:$P,매매일지!$B:$B,"&gt;="&amp;$B32,매매일지!$B:$B,"&lt;="&amp;$C32),""))</f>
        <v/>
      </c>
      <c r="H32" s="35" t="str">
        <f aca="false">IF(OR($B32="",$C32=""),"",IFERROR(AVERAGEIFS(매매일지!$Q:$Q,매매일지!$B:$B,"&gt;="&amp;$B32,매매일지!$B:$B,"&lt;="&amp;$C32),""))</f>
        <v/>
      </c>
      <c r="I32" s="36" t="str">
        <f aca="false">IF(OR($B32="",$C32=""),"",COUNTIFS(매매일지!$B:$B,"&gt;="&amp;$B32,매매일지!$B:$B,"&lt;="&amp;$C32,매매일지!$R:$R,"위반"))</f>
        <v/>
      </c>
      <c r="J32" s="44"/>
      <c r="K32" s="44"/>
      <c r="L32" s="44"/>
    </row>
    <row r="33" customFormat="false" ht="15" hidden="false" customHeight="false" outlineLevel="0" collapsed="false">
      <c r="A33" s="28"/>
      <c r="B33" s="29"/>
      <c r="C33" s="29"/>
      <c r="D33" s="36" t="str">
        <f aca="false">IF(OR($B33="",$C33=""),"",COUNTIFS(매매일지!$B:$B,"&gt;="&amp;$B33,매매일지!$B:$B,"&lt;="&amp;$C33))</f>
        <v/>
      </c>
      <c r="E33" s="34" t="str">
        <f aca="false">IF(OR($B33="",$C33=""),"",SUMIFS(일일PnL!$F:$F,일일PnL!$A:$A,"&gt;="&amp;$B33,일일PnL!$A:$A,"&lt;="&amp;$C33))</f>
        <v/>
      </c>
      <c r="F33" s="34" t="str">
        <f aca="false">IF(OR($B33="",$C33=""),"",SUMIFS(일일PnL!$G:$G,일일PnL!$A:$A,"&gt;="&amp;$B33,일일PnL!$A:$A,"&lt;="&amp;$C33))</f>
        <v/>
      </c>
      <c r="G33" s="35" t="str">
        <f aca="false">IF(OR($B33="",$C33=""),"",IFERROR(AVERAGEIFS(매매일지!$P:$P,매매일지!$B:$B,"&gt;="&amp;$B33,매매일지!$B:$B,"&lt;="&amp;$C33),""))</f>
        <v/>
      </c>
      <c r="H33" s="35" t="str">
        <f aca="false">IF(OR($B33="",$C33=""),"",IFERROR(AVERAGEIFS(매매일지!$Q:$Q,매매일지!$B:$B,"&gt;="&amp;$B33,매매일지!$B:$B,"&lt;="&amp;$C33),""))</f>
        <v/>
      </c>
      <c r="I33" s="36" t="str">
        <f aca="false">IF(OR($B33="",$C33=""),"",COUNTIFS(매매일지!$B:$B,"&gt;="&amp;$B33,매매일지!$B:$B,"&lt;="&amp;$C33,매매일지!$R:$R,"위반"))</f>
        <v/>
      </c>
      <c r="J33" s="44"/>
      <c r="K33" s="44"/>
      <c r="L33" s="44"/>
    </row>
    <row r="34" customFormat="false" ht="15" hidden="false" customHeight="false" outlineLevel="0" collapsed="false">
      <c r="A34" s="28"/>
      <c r="B34" s="29"/>
      <c r="C34" s="29"/>
      <c r="D34" s="36" t="str">
        <f aca="false">IF(OR($B34="",$C34=""),"",COUNTIFS(매매일지!$B:$B,"&gt;="&amp;$B34,매매일지!$B:$B,"&lt;="&amp;$C34))</f>
        <v/>
      </c>
      <c r="E34" s="34" t="str">
        <f aca="false">IF(OR($B34="",$C34=""),"",SUMIFS(일일PnL!$F:$F,일일PnL!$A:$A,"&gt;="&amp;$B34,일일PnL!$A:$A,"&lt;="&amp;$C34))</f>
        <v/>
      </c>
      <c r="F34" s="34" t="str">
        <f aca="false">IF(OR($B34="",$C34=""),"",SUMIFS(일일PnL!$G:$G,일일PnL!$A:$A,"&gt;="&amp;$B34,일일PnL!$A:$A,"&lt;="&amp;$C34))</f>
        <v/>
      </c>
      <c r="G34" s="35" t="str">
        <f aca="false">IF(OR($B34="",$C34=""),"",IFERROR(AVERAGEIFS(매매일지!$P:$P,매매일지!$B:$B,"&gt;="&amp;$B34,매매일지!$B:$B,"&lt;="&amp;$C34),""))</f>
        <v/>
      </c>
      <c r="H34" s="35" t="str">
        <f aca="false">IF(OR($B34="",$C34=""),"",IFERROR(AVERAGEIFS(매매일지!$Q:$Q,매매일지!$B:$B,"&gt;="&amp;$B34,매매일지!$B:$B,"&lt;="&amp;$C34),""))</f>
        <v/>
      </c>
      <c r="I34" s="36" t="str">
        <f aca="false">IF(OR($B34="",$C34=""),"",COUNTIFS(매매일지!$B:$B,"&gt;="&amp;$B34,매매일지!$B:$B,"&lt;="&amp;$C34,매매일지!$R:$R,"위반"))</f>
        <v/>
      </c>
      <c r="J34" s="44"/>
      <c r="K34" s="44"/>
      <c r="L34" s="44"/>
    </row>
    <row r="35" customFormat="false" ht="15" hidden="false" customHeight="false" outlineLevel="0" collapsed="false">
      <c r="A35" s="28"/>
      <c r="B35" s="29"/>
      <c r="C35" s="29"/>
      <c r="D35" s="36" t="str">
        <f aca="false">IF(OR($B35="",$C35=""),"",COUNTIFS(매매일지!$B:$B,"&gt;="&amp;$B35,매매일지!$B:$B,"&lt;="&amp;$C35))</f>
        <v/>
      </c>
      <c r="E35" s="34" t="str">
        <f aca="false">IF(OR($B35="",$C35=""),"",SUMIFS(일일PnL!$F:$F,일일PnL!$A:$A,"&gt;="&amp;$B35,일일PnL!$A:$A,"&lt;="&amp;$C35))</f>
        <v/>
      </c>
      <c r="F35" s="34" t="str">
        <f aca="false">IF(OR($B35="",$C35=""),"",SUMIFS(일일PnL!$G:$G,일일PnL!$A:$A,"&gt;="&amp;$B35,일일PnL!$A:$A,"&lt;="&amp;$C35))</f>
        <v/>
      </c>
      <c r="G35" s="35" t="str">
        <f aca="false">IF(OR($B35="",$C35=""),"",IFERROR(AVERAGEIFS(매매일지!$P:$P,매매일지!$B:$B,"&gt;="&amp;$B35,매매일지!$B:$B,"&lt;="&amp;$C35),""))</f>
        <v/>
      </c>
      <c r="H35" s="35" t="str">
        <f aca="false">IF(OR($B35="",$C35=""),"",IFERROR(AVERAGEIFS(매매일지!$Q:$Q,매매일지!$B:$B,"&gt;="&amp;$B35,매매일지!$B:$B,"&lt;="&amp;$C35),""))</f>
        <v/>
      </c>
      <c r="I35" s="36" t="str">
        <f aca="false">IF(OR($B35="",$C35=""),"",COUNTIFS(매매일지!$B:$B,"&gt;="&amp;$B35,매매일지!$B:$B,"&lt;="&amp;$C35,매매일지!$R:$R,"위반"))</f>
        <v/>
      </c>
      <c r="J35" s="44"/>
      <c r="K35" s="44"/>
      <c r="L35" s="44"/>
    </row>
    <row r="36" customFormat="false" ht="15" hidden="false" customHeight="false" outlineLevel="0" collapsed="false">
      <c r="A36" s="28"/>
      <c r="B36" s="29"/>
      <c r="C36" s="29"/>
      <c r="D36" s="36" t="str">
        <f aca="false">IF(OR($B36="",$C36=""),"",COUNTIFS(매매일지!$B:$B,"&gt;="&amp;$B36,매매일지!$B:$B,"&lt;="&amp;$C36))</f>
        <v/>
      </c>
      <c r="E36" s="34" t="str">
        <f aca="false">IF(OR($B36="",$C36=""),"",SUMIFS(일일PnL!$F:$F,일일PnL!$A:$A,"&gt;="&amp;$B36,일일PnL!$A:$A,"&lt;="&amp;$C36))</f>
        <v/>
      </c>
      <c r="F36" s="34" t="str">
        <f aca="false">IF(OR($B36="",$C36=""),"",SUMIFS(일일PnL!$G:$G,일일PnL!$A:$A,"&gt;="&amp;$B36,일일PnL!$A:$A,"&lt;="&amp;$C36))</f>
        <v/>
      </c>
      <c r="G36" s="35" t="str">
        <f aca="false">IF(OR($B36="",$C36=""),"",IFERROR(AVERAGEIFS(매매일지!$P:$P,매매일지!$B:$B,"&gt;="&amp;$B36,매매일지!$B:$B,"&lt;="&amp;$C36),""))</f>
        <v/>
      </c>
      <c r="H36" s="35" t="str">
        <f aca="false">IF(OR($B36="",$C36=""),"",IFERROR(AVERAGEIFS(매매일지!$Q:$Q,매매일지!$B:$B,"&gt;="&amp;$B36,매매일지!$B:$B,"&lt;="&amp;$C36),""))</f>
        <v/>
      </c>
      <c r="I36" s="36" t="str">
        <f aca="false">IF(OR($B36="",$C36=""),"",COUNTIFS(매매일지!$B:$B,"&gt;="&amp;$B36,매매일지!$B:$B,"&lt;="&amp;$C36,매매일지!$R:$R,"위반"))</f>
        <v/>
      </c>
      <c r="J36" s="44"/>
      <c r="K36" s="44"/>
      <c r="L36" s="44"/>
    </row>
    <row r="37" customFormat="false" ht="15" hidden="false" customHeight="false" outlineLevel="0" collapsed="false">
      <c r="A37" s="28"/>
      <c r="B37" s="29"/>
      <c r="C37" s="29"/>
      <c r="D37" s="36" t="str">
        <f aca="false">IF(OR($B37="",$C37=""),"",COUNTIFS(매매일지!$B:$B,"&gt;="&amp;$B37,매매일지!$B:$B,"&lt;="&amp;$C37))</f>
        <v/>
      </c>
      <c r="E37" s="34" t="str">
        <f aca="false">IF(OR($B37="",$C37=""),"",SUMIFS(일일PnL!$F:$F,일일PnL!$A:$A,"&gt;="&amp;$B37,일일PnL!$A:$A,"&lt;="&amp;$C37))</f>
        <v/>
      </c>
      <c r="F37" s="34" t="str">
        <f aca="false">IF(OR($B37="",$C37=""),"",SUMIFS(일일PnL!$G:$G,일일PnL!$A:$A,"&gt;="&amp;$B37,일일PnL!$A:$A,"&lt;="&amp;$C37))</f>
        <v/>
      </c>
      <c r="G37" s="35" t="str">
        <f aca="false">IF(OR($B37="",$C37=""),"",IFERROR(AVERAGEIFS(매매일지!$P:$P,매매일지!$B:$B,"&gt;="&amp;$B37,매매일지!$B:$B,"&lt;="&amp;$C37),""))</f>
        <v/>
      </c>
      <c r="H37" s="35" t="str">
        <f aca="false">IF(OR($B37="",$C37=""),"",IFERROR(AVERAGEIFS(매매일지!$Q:$Q,매매일지!$B:$B,"&gt;="&amp;$B37,매매일지!$B:$B,"&lt;="&amp;$C37),""))</f>
        <v/>
      </c>
      <c r="I37" s="36" t="str">
        <f aca="false">IF(OR($B37="",$C37=""),"",COUNTIFS(매매일지!$B:$B,"&gt;="&amp;$B37,매매일지!$B:$B,"&lt;="&amp;$C37,매매일지!$R:$R,"위반"))</f>
        <v/>
      </c>
      <c r="J37" s="44"/>
      <c r="K37" s="44"/>
      <c r="L37" s="44"/>
    </row>
    <row r="38" customFormat="false" ht="15" hidden="false" customHeight="false" outlineLevel="0" collapsed="false">
      <c r="A38" s="28"/>
      <c r="B38" s="29"/>
      <c r="C38" s="29"/>
      <c r="D38" s="36" t="str">
        <f aca="false">IF(OR($B38="",$C38=""),"",COUNTIFS(매매일지!$B:$B,"&gt;="&amp;$B38,매매일지!$B:$B,"&lt;="&amp;$C38))</f>
        <v/>
      </c>
      <c r="E38" s="34" t="str">
        <f aca="false">IF(OR($B38="",$C38=""),"",SUMIFS(일일PnL!$F:$F,일일PnL!$A:$A,"&gt;="&amp;$B38,일일PnL!$A:$A,"&lt;="&amp;$C38))</f>
        <v/>
      </c>
      <c r="F38" s="34" t="str">
        <f aca="false">IF(OR($B38="",$C38=""),"",SUMIFS(일일PnL!$G:$G,일일PnL!$A:$A,"&gt;="&amp;$B38,일일PnL!$A:$A,"&lt;="&amp;$C38))</f>
        <v/>
      </c>
      <c r="G38" s="35" t="str">
        <f aca="false">IF(OR($B38="",$C38=""),"",IFERROR(AVERAGEIFS(매매일지!$P:$P,매매일지!$B:$B,"&gt;="&amp;$B38,매매일지!$B:$B,"&lt;="&amp;$C38),""))</f>
        <v/>
      </c>
      <c r="H38" s="35" t="str">
        <f aca="false">IF(OR($B38="",$C38=""),"",IFERROR(AVERAGEIFS(매매일지!$Q:$Q,매매일지!$B:$B,"&gt;="&amp;$B38,매매일지!$B:$B,"&lt;="&amp;$C38),""))</f>
        <v/>
      </c>
      <c r="I38" s="36" t="str">
        <f aca="false">IF(OR($B38="",$C38=""),"",COUNTIFS(매매일지!$B:$B,"&gt;="&amp;$B38,매매일지!$B:$B,"&lt;="&amp;$C38,매매일지!$R:$R,"위반"))</f>
        <v/>
      </c>
      <c r="J38" s="44"/>
      <c r="K38" s="44"/>
      <c r="L38" s="44"/>
    </row>
    <row r="39" customFormat="false" ht="15" hidden="false" customHeight="false" outlineLevel="0" collapsed="false">
      <c r="A39" s="28"/>
      <c r="B39" s="29"/>
      <c r="C39" s="29"/>
      <c r="D39" s="36" t="str">
        <f aca="false">IF(OR($B39="",$C39=""),"",COUNTIFS(매매일지!$B:$B,"&gt;="&amp;$B39,매매일지!$B:$B,"&lt;="&amp;$C39))</f>
        <v/>
      </c>
      <c r="E39" s="34" t="str">
        <f aca="false">IF(OR($B39="",$C39=""),"",SUMIFS(일일PnL!$F:$F,일일PnL!$A:$A,"&gt;="&amp;$B39,일일PnL!$A:$A,"&lt;="&amp;$C39))</f>
        <v/>
      </c>
      <c r="F39" s="34" t="str">
        <f aca="false">IF(OR($B39="",$C39=""),"",SUMIFS(일일PnL!$G:$G,일일PnL!$A:$A,"&gt;="&amp;$B39,일일PnL!$A:$A,"&lt;="&amp;$C39))</f>
        <v/>
      </c>
      <c r="G39" s="35" t="str">
        <f aca="false">IF(OR($B39="",$C39=""),"",IFERROR(AVERAGEIFS(매매일지!$P:$P,매매일지!$B:$B,"&gt;="&amp;$B39,매매일지!$B:$B,"&lt;="&amp;$C39),""))</f>
        <v/>
      </c>
      <c r="H39" s="35" t="str">
        <f aca="false">IF(OR($B39="",$C39=""),"",IFERROR(AVERAGEIFS(매매일지!$Q:$Q,매매일지!$B:$B,"&gt;="&amp;$B39,매매일지!$B:$B,"&lt;="&amp;$C39),""))</f>
        <v/>
      </c>
      <c r="I39" s="36" t="str">
        <f aca="false">IF(OR($B39="",$C39=""),"",COUNTIFS(매매일지!$B:$B,"&gt;="&amp;$B39,매매일지!$B:$B,"&lt;="&amp;$C39,매매일지!$R:$R,"위반"))</f>
        <v/>
      </c>
      <c r="J39" s="44"/>
      <c r="K39" s="44"/>
      <c r="L39" s="44"/>
    </row>
    <row r="40" customFormat="false" ht="15" hidden="false" customHeight="false" outlineLevel="0" collapsed="false">
      <c r="A40" s="28"/>
      <c r="B40" s="29"/>
      <c r="C40" s="29"/>
      <c r="D40" s="36" t="str">
        <f aca="false">IF(OR($B40="",$C40=""),"",COUNTIFS(매매일지!$B:$B,"&gt;="&amp;$B40,매매일지!$B:$B,"&lt;="&amp;$C40))</f>
        <v/>
      </c>
      <c r="E40" s="34" t="str">
        <f aca="false">IF(OR($B40="",$C40=""),"",SUMIFS(일일PnL!$F:$F,일일PnL!$A:$A,"&gt;="&amp;$B40,일일PnL!$A:$A,"&lt;="&amp;$C40))</f>
        <v/>
      </c>
      <c r="F40" s="34" t="str">
        <f aca="false">IF(OR($B40="",$C40=""),"",SUMIFS(일일PnL!$G:$G,일일PnL!$A:$A,"&gt;="&amp;$B40,일일PnL!$A:$A,"&lt;="&amp;$C40))</f>
        <v/>
      </c>
      <c r="G40" s="35" t="str">
        <f aca="false">IF(OR($B40="",$C40=""),"",IFERROR(AVERAGEIFS(매매일지!$P:$P,매매일지!$B:$B,"&gt;="&amp;$B40,매매일지!$B:$B,"&lt;="&amp;$C40),""))</f>
        <v/>
      </c>
      <c r="H40" s="35" t="str">
        <f aca="false">IF(OR($B40="",$C40=""),"",IFERROR(AVERAGEIFS(매매일지!$Q:$Q,매매일지!$B:$B,"&gt;="&amp;$B40,매매일지!$B:$B,"&lt;="&amp;$C40),""))</f>
        <v/>
      </c>
      <c r="I40" s="36" t="str">
        <f aca="false">IF(OR($B40="",$C40=""),"",COUNTIFS(매매일지!$B:$B,"&gt;="&amp;$B40,매매일지!$B:$B,"&lt;="&amp;$C40,매매일지!$R:$R,"위반"))</f>
        <v/>
      </c>
      <c r="J40" s="44"/>
      <c r="K40" s="44"/>
      <c r="L40" s="44"/>
    </row>
    <row r="41" customFormat="false" ht="15" hidden="false" customHeight="false" outlineLevel="0" collapsed="false">
      <c r="A41" s="28"/>
      <c r="B41" s="29"/>
      <c r="C41" s="29"/>
      <c r="D41" s="36" t="str">
        <f aca="false">IF(OR($B41="",$C41=""),"",COUNTIFS(매매일지!$B:$B,"&gt;="&amp;$B41,매매일지!$B:$B,"&lt;="&amp;$C41))</f>
        <v/>
      </c>
      <c r="E41" s="34" t="str">
        <f aca="false">IF(OR($B41="",$C41=""),"",SUMIFS(일일PnL!$F:$F,일일PnL!$A:$A,"&gt;="&amp;$B41,일일PnL!$A:$A,"&lt;="&amp;$C41))</f>
        <v/>
      </c>
      <c r="F41" s="34" t="str">
        <f aca="false">IF(OR($B41="",$C41=""),"",SUMIFS(일일PnL!$G:$G,일일PnL!$A:$A,"&gt;="&amp;$B41,일일PnL!$A:$A,"&lt;="&amp;$C41))</f>
        <v/>
      </c>
      <c r="G41" s="35" t="str">
        <f aca="false">IF(OR($B41="",$C41=""),"",IFERROR(AVERAGEIFS(매매일지!$P:$P,매매일지!$B:$B,"&gt;="&amp;$B41,매매일지!$B:$B,"&lt;="&amp;$C41),""))</f>
        <v/>
      </c>
      <c r="H41" s="35" t="str">
        <f aca="false">IF(OR($B41="",$C41=""),"",IFERROR(AVERAGEIFS(매매일지!$Q:$Q,매매일지!$B:$B,"&gt;="&amp;$B41,매매일지!$B:$B,"&lt;="&amp;$C41),""))</f>
        <v/>
      </c>
      <c r="I41" s="36" t="str">
        <f aca="false">IF(OR($B41="",$C41=""),"",COUNTIFS(매매일지!$B:$B,"&gt;="&amp;$B41,매매일지!$B:$B,"&lt;="&amp;$C41,매매일지!$R:$R,"위반"))</f>
        <v/>
      </c>
      <c r="J41" s="44"/>
      <c r="K41" s="44"/>
      <c r="L41" s="44"/>
    </row>
    <row r="42" customFormat="false" ht="15" hidden="false" customHeight="false" outlineLevel="0" collapsed="false">
      <c r="A42" s="28"/>
      <c r="B42" s="29"/>
      <c r="C42" s="29"/>
      <c r="D42" s="36" t="str">
        <f aca="false">IF(OR($B42="",$C42=""),"",COUNTIFS(매매일지!$B:$B,"&gt;="&amp;$B42,매매일지!$B:$B,"&lt;="&amp;$C42))</f>
        <v/>
      </c>
      <c r="E42" s="34" t="str">
        <f aca="false">IF(OR($B42="",$C42=""),"",SUMIFS(일일PnL!$F:$F,일일PnL!$A:$A,"&gt;="&amp;$B42,일일PnL!$A:$A,"&lt;="&amp;$C42))</f>
        <v/>
      </c>
      <c r="F42" s="34" t="str">
        <f aca="false">IF(OR($B42="",$C42=""),"",SUMIFS(일일PnL!$G:$G,일일PnL!$A:$A,"&gt;="&amp;$B42,일일PnL!$A:$A,"&lt;="&amp;$C42))</f>
        <v/>
      </c>
      <c r="G42" s="35" t="str">
        <f aca="false">IF(OR($B42="",$C42=""),"",IFERROR(AVERAGEIFS(매매일지!$P:$P,매매일지!$B:$B,"&gt;="&amp;$B42,매매일지!$B:$B,"&lt;="&amp;$C42),""))</f>
        <v/>
      </c>
      <c r="H42" s="35" t="str">
        <f aca="false">IF(OR($B42="",$C42=""),"",IFERROR(AVERAGEIFS(매매일지!$Q:$Q,매매일지!$B:$B,"&gt;="&amp;$B42,매매일지!$B:$B,"&lt;="&amp;$C42),""))</f>
        <v/>
      </c>
      <c r="I42" s="36" t="str">
        <f aca="false">IF(OR($B42="",$C42=""),"",COUNTIFS(매매일지!$B:$B,"&gt;="&amp;$B42,매매일지!$B:$B,"&lt;="&amp;$C42,매매일지!$R:$R,"위반"))</f>
        <v/>
      </c>
      <c r="J42" s="44"/>
      <c r="K42" s="44"/>
      <c r="L42" s="44"/>
    </row>
    <row r="43" customFormat="false" ht="15" hidden="false" customHeight="false" outlineLevel="0" collapsed="false">
      <c r="A43" s="28"/>
      <c r="B43" s="29"/>
      <c r="C43" s="29"/>
      <c r="D43" s="36" t="str">
        <f aca="false">IF(OR($B43="",$C43=""),"",COUNTIFS(매매일지!$B:$B,"&gt;="&amp;$B43,매매일지!$B:$B,"&lt;="&amp;$C43))</f>
        <v/>
      </c>
      <c r="E43" s="34" t="str">
        <f aca="false">IF(OR($B43="",$C43=""),"",SUMIFS(일일PnL!$F:$F,일일PnL!$A:$A,"&gt;="&amp;$B43,일일PnL!$A:$A,"&lt;="&amp;$C43))</f>
        <v/>
      </c>
      <c r="F43" s="34" t="str">
        <f aca="false">IF(OR($B43="",$C43=""),"",SUMIFS(일일PnL!$G:$G,일일PnL!$A:$A,"&gt;="&amp;$B43,일일PnL!$A:$A,"&lt;="&amp;$C43))</f>
        <v/>
      </c>
      <c r="G43" s="35" t="str">
        <f aca="false">IF(OR($B43="",$C43=""),"",IFERROR(AVERAGEIFS(매매일지!$P:$P,매매일지!$B:$B,"&gt;="&amp;$B43,매매일지!$B:$B,"&lt;="&amp;$C43),""))</f>
        <v/>
      </c>
      <c r="H43" s="35" t="str">
        <f aca="false">IF(OR($B43="",$C43=""),"",IFERROR(AVERAGEIFS(매매일지!$Q:$Q,매매일지!$B:$B,"&gt;="&amp;$B43,매매일지!$B:$B,"&lt;="&amp;$C43),""))</f>
        <v/>
      </c>
      <c r="I43" s="36" t="str">
        <f aca="false">IF(OR($B43="",$C43=""),"",COUNTIFS(매매일지!$B:$B,"&gt;="&amp;$B43,매매일지!$B:$B,"&lt;="&amp;$C43,매매일지!$R:$R,"위반"))</f>
        <v/>
      </c>
      <c r="J43" s="44"/>
      <c r="K43" s="44"/>
      <c r="L43" s="44"/>
    </row>
    <row r="44" customFormat="false" ht="15" hidden="false" customHeight="false" outlineLevel="0" collapsed="false">
      <c r="A44" s="28"/>
      <c r="B44" s="29"/>
      <c r="C44" s="29"/>
      <c r="D44" s="36" t="str">
        <f aca="false">IF(OR($B44="",$C44=""),"",COUNTIFS(매매일지!$B:$B,"&gt;="&amp;$B44,매매일지!$B:$B,"&lt;="&amp;$C44))</f>
        <v/>
      </c>
      <c r="E44" s="34" t="str">
        <f aca="false">IF(OR($B44="",$C44=""),"",SUMIFS(일일PnL!$F:$F,일일PnL!$A:$A,"&gt;="&amp;$B44,일일PnL!$A:$A,"&lt;="&amp;$C44))</f>
        <v/>
      </c>
      <c r="F44" s="34" t="str">
        <f aca="false">IF(OR($B44="",$C44=""),"",SUMIFS(일일PnL!$G:$G,일일PnL!$A:$A,"&gt;="&amp;$B44,일일PnL!$A:$A,"&lt;="&amp;$C44))</f>
        <v/>
      </c>
      <c r="G44" s="35" t="str">
        <f aca="false">IF(OR($B44="",$C44=""),"",IFERROR(AVERAGEIFS(매매일지!$P:$P,매매일지!$B:$B,"&gt;="&amp;$B44,매매일지!$B:$B,"&lt;="&amp;$C44),""))</f>
        <v/>
      </c>
      <c r="H44" s="35" t="str">
        <f aca="false">IF(OR($B44="",$C44=""),"",IFERROR(AVERAGEIFS(매매일지!$Q:$Q,매매일지!$B:$B,"&gt;="&amp;$B44,매매일지!$B:$B,"&lt;="&amp;$C44),""))</f>
        <v/>
      </c>
      <c r="I44" s="36" t="str">
        <f aca="false">IF(OR($B44="",$C44=""),"",COUNTIFS(매매일지!$B:$B,"&gt;="&amp;$B44,매매일지!$B:$B,"&lt;="&amp;$C44,매매일지!$R:$R,"위반"))</f>
        <v/>
      </c>
      <c r="J44" s="44"/>
      <c r="K44" s="44"/>
      <c r="L44" s="44"/>
    </row>
    <row r="45" customFormat="false" ht="15" hidden="false" customHeight="false" outlineLevel="0" collapsed="false">
      <c r="A45" s="28"/>
      <c r="B45" s="29"/>
      <c r="C45" s="29"/>
      <c r="D45" s="36" t="str">
        <f aca="false">IF(OR($B45="",$C45=""),"",COUNTIFS(매매일지!$B:$B,"&gt;="&amp;$B45,매매일지!$B:$B,"&lt;="&amp;$C45))</f>
        <v/>
      </c>
      <c r="E45" s="34" t="str">
        <f aca="false">IF(OR($B45="",$C45=""),"",SUMIFS(일일PnL!$F:$F,일일PnL!$A:$A,"&gt;="&amp;$B45,일일PnL!$A:$A,"&lt;="&amp;$C45))</f>
        <v/>
      </c>
      <c r="F45" s="34" t="str">
        <f aca="false">IF(OR($B45="",$C45=""),"",SUMIFS(일일PnL!$G:$G,일일PnL!$A:$A,"&gt;="&amp;$B45,일일PnL!$A:$A,"&lt;="&amp;$C45))</f>
        <v/>
      </c>
      <c r="G45" s="35" t="str">
        <f aca="false">IF(OR($B45="",$C45=""),"",IFERROR(AVERAGEIFS(매매일지!$P:$P,매매일지!$B:$B,"&gt;="&amp;$B45,매매일지!$B:$B,"&lt;="&amp;$C45),""))</f>
        <v/>
      </c>
      <c r="H45" s="35" t="str">
        <f aca="false">IF(OR($B45="",$C45=""),"",IFERROR(AVERAGEIFS(매매일지!$Q:$Q,매매일지!$B:$B,"&gt;="&amp;$B45,매매일지!$B:$B,"&lt;="&amp;$C45),""))</f>
        <v/>
      </c>
      <c r="I45" s="36" t="str">
        <f aca="false">IF(OR($B45="",$C45=""),"",COUNTIFS(매매일지!$B:$B,"&gt;="&amp;$B45,매매일지!$B:$B,"&lt;="&amp;$C45,매매일지!$R:$R,"위반"))</f>
        <v/>
      </c>
      <c r="J45" s="44"/>
      <c r="K45" s="44"/>
      <c r="L45" s="44"/>
    </row>
    <row r="46" customFormat="false" ht="15" hidden="false" customHeight="false" outlineLevel="0" collapsed="false">
      <c r="A46" s="28"/>
      <c r="B46" s="29"/>
      <c r="C46" s="29"/>
      <c r="D46" s="36" t="str">
        <f aca="false">IF(OR($B46="",$C46=""),"",COUNTIFS(매매일지!$B:$B,"&gt;="&amp;$B46,매매일지!$B:$B,"&lt;="&amp;$C46))</f>
        <v/>
      </c>
      <c r="E46" s="34" t="str">
        <f aca="false">IF(OR($B46="",$C46=""),"",SUMIFS(일일PnL!$F:$F,일일PnL!$A:$A,"&gt;="&amp;$B46,일일PnL!$A:$A,"&lt;="&amp;$C46))</f>
        <v/>
      </c>
      <c r="F46" s="34" t="str">
        <f aca="false">IF(OR($B46="",$C46=""),"",SUMIFS(일일PnL!$G:$G,일일PnL!$A:$A,"&gt;="&amp;$B46,일일PnL!$A:$A,"&lt;="&amp;$C46))</f>
        <v/>
      </c>
      <c r="G46" s="35" t="str">
        <f aca="false">IF(OR($B46="",$C46=""),"",IFERROR(AVERAGEIFS(매매일지!$P:$P,매매일지!$B:$B,"&gt;="&amp;$B46,매매일지!$B:$B,"&lt;="&amp;$C46),""))</f>
        <v/>
      </c>
      <c r="H46" s="35" t="str">
        <f aca="false">IF(OR($B46="",$C46=""),"",IFERROR(AVERAGEIFS(매매일지!$Q:$Q,매매일지!$B:$B,"&gt;="&amp;$B46,매매일지!$B:$B,"&lt;="&amp;$C46),""))</f>
        <v/>
      </c>
      <c r="I46" s="36" t="str">
        <f aca="false">IF(OR($B46="",$C46=""),"",COUNTIFS(매매일지!$B:$B,"&gt;="&amp;$B46,매매일지!$B:$B,"&lt;="&amp;$C46,매매일지!$R:$R,"위반"))</f>
        <v/>
      </c>
      <c r="J46" s="44"/>
      <c r="K46" s="44"/>
      <c r="L46" s="44"/>
    </row>
    <row r="47" customFormat="false" ht="15" hidden="false" customHeight="false" outlineLevel="0" collapsed="false">
      <c r="A47" s="28"/>
      <c r="B47" s="29"/>
      <c r="C47" s="29"/>
      <c r="D47" s="36" t="str">
        <f aca="false">IF(OR($B47="",$C47=""),"",COUNTIFS(매매일지!$B:$B,"&gt;="&amp;$B47,매매일지!$B:$B,"&lt;="&amp;$C47))</f>
        <v/>
      </c>
      <c r="E47" s="34" t="str">
        <f aca="false">IF(OR($B47="",$C47=""),"",SUMIFS(일일PnL!$F:$F,일일PnL!$A:$A,"&gt;="&amp;$B47,일일PnL!$A:$A,"&lt;="&amp;$C47))</f>
        <v/>
      </c>
      <c r="F47" s="34" t="str">
        <f aca="false">IF(OR($B47="",$C47=""),"",SUMIFS(일일PnL!$G:$G,일일PnL!$A:$A,"&gt;="&amp;$B47,일일PnL!$A:$A,"&lt;="&amp;$C47))</f>
        <v/>
      </c>
      <c r="G47" s="35" t="str">
        <f aca="false">IF(OR($B47="",$C47=""),"",IFERROR(AVERAGEIFS(매매일지!$P:$P,매매일지!$B:$B,"&gt;="&amp;$B47,매매일지!$B:$B,"&lt;="&amp;$C47),""))</f>
        <v/>
      </c>
      <c r="H47" s="35" t="str">
        <f aca="false">IF(OR($B47="",$C47=""),"",IFERROR(AVERAGEIFS(매매일지!$Q:$Q,매매일지!$B:$B,"&gt;="&amp;$B47,매매일지!$B:$B,"&lt;="&amp;$C47),""))</f>
        <v/>
      </c>
      <c r="I47" s="36" t="str">
        <f aca="false">IF(OR($B47="",$C47=""),"",COUNTIFS(매매일지!$B:$B,"&gt;="&amp;$B47,매매일지!$B:$B,"&lt;="&amp;$C47,매매일지!$R:$R,"위반"))</f>
        <v/>
      </c>
      <c r="J47" s="44"/>
      <c r="K47" s="44"/>
      <c r="L47" s="44"/>
    </row>
    <row r="48" customFormat="false" ht="15" hidden="false" customHeight="false" outlineLevel="0" collapsed="false">
      <c r="A48" s="28"/>
      <c r="B48" s="29"/>
      <c r="C48" s="29"/>
      <c r="D48" s="36" t="str">
        <f aca="false">IF(OR($B48="",$C48=""),"",COUNTIFS(매매일지!$B:$B,"&gt;="&amp;$B48,매매일지!$B:$B,"&lt;="&amp;$C48))</f>
        <v/>
      </c>
      <c r="E48" s="34" t="str">
        <f aca="false">IF(OR($B48="",$C48=""),"",SUMIFS(일일PnL!$F:$F,일일PnL!$A:$A,"&gt;="&amp;$B48,일일PnL!$A:$A,"&lt;="&amp;$C48))</f>
        <v/>
      </c>
      <c r="F48" s="34" t="str">
        <f aca="false">IF(OR($B48="",$C48=""),"",SUMIFS(일일PnL!$G:$G,일일PnL!$A:$A,"&gt;="&amp;$B48,일일PnL!$A:$A,"&lt;="&amp;$C48))</f>
        <v/>
      </c>
      <c r="G48" s="35" t="str">
        <f aca="false">IF(OR($B48="",$C48=""),"",IFERROR(AVERAGEIFS(매매일지!$P:$P,매매일지!$B:$B,"&gt;="&amp;$B48,매매일지!$B:$B,"&lt;="&amp;$C48),""))</f>
        <v/>
      </c>
      <c r="H48" s="35" t="str">
        <f aca="false">IF(OR($B48="",$C48=""),"",IFERROR(AVERAGEIFS(매매일지!$Q:$Q,매매일지!$B:$B,"&gt;="&amp;$B48,매매일지!$B:$B,"&lt;="&amp;$C48),""))</f>
        <v/>
      </c>
      <c r="I48" s="36" t="str">
        <f aca="false">IF(OR($B48="",$C48=""),"",COUNTIFS(매매일지!$B:$B,"&gt;="&amp;$B48,매매일지!$B:$B,"&lt;="&amp;$C48,매매일지!$R:$R,"위반"))</f>
        <v/>
      </c>
      <c r="J48" s="44"/>
      <c r="K48" s="44"/>
      <c r="L48" s="44"/>
    </row>
    <row r="49" customFormat="false" ht="15" hidden="false" customHeight="false" outlineLevel="0" collapsed="false">
      <c r="A49" s="28"/>
      <c r="B49" s="29"/>
      <c r="C49" s="29"/>
      <c r="D49" s="36" t="str">
        <f aca="false">IF(OR($B49="",$C49=""),"",COUNTIFS(매매일지!$B:$B,"&gt;="&amp;$B49,매매일지!$B:$B,"&lt;="&amp;$C49))</f>
        <v/>
      </c>
      <c r="E49" s="34" t="str">
        <f aca="false">IF(OR($B49="",$C49=""),"",SUMIFS(일일PnL!$F:$F,일일PnL!$A:$A,"&gt;="&amp;$B49,일일PnL!$A:$A,"&lt;="&amp;$C49))</f>
        <v/>
      </c>
      <c r="F49" s="34" t="str">
        <f aca="false">IF(OR($B49="",$C49=""),"",SUMIFS(일일PnL!$G:$G,일일PnL!$A:$A,"&gt;="&amp;$B49,일일PnL!$A:$A,"&lt;="&amp;$C49))</f>
        <v/>
      </c>
      <c r="G49" s="35" t="str">
        <f aca="false">IF(OR($B49="",$C49=""),"",IFERROR(AVERAGEIFS(매매일지!$P:$P,매매일지!$B:$B,"&gt;="&amp;$B49,매매일지!$B:$B,"&lt;="&amp;$C49),""))</f>
        <v/>
      </c>
      <c r="H49" s="35" t="str">
        <f aca="false">IF(OR($B49="",$C49=""),"",IFERROR(AVERAGEIFS(매매일지!$Q:$Q,매매일지!$B:$B,"&gt;="&amp;$B49,매매일지!$B:$B,"&lt;="&amp;$C49),""))</f>
        <v/>
      </c>
      <c r="I49" s="36" t="str">
        <f aca="false">IF(OR($B49="",$C49=""),"",COUNTIFS(매매일지!$B:$B,"&gt;="&amp;$B49,매매일지!$B:$B,"&lt;="&amp;$C49,매매일지!$R:$R,"위반"))</f>
        <v/>
      </c>
      <c r="J49" s="44"/>
      <c r="K49" s="44"/>
      <c r="L49" s="44"/>
    </row>
    <row r="50" customFormat="false" ht="15" hidden="false" customHeight="false" outlineLevel="0" collapsed="false">
      <c r="A50" s="28"/>
      <c r="B50" s="29"/>
      <c r="C50" s="29"/>
      <c r="D50" s="36" t="str">
        <f aca="false">IF(OR($B50="",$C50=""),"",COUNTIFS(매매일지!$B:$B,"&gt;="&amp;$B50,매매일지!$B:$B,"&lt;="&amp;$C50))</f>
        <v/>
      </c>
      <c r="E50" s="34" t="str">
        <f aca="false">IF(OR($B50="",$C50=""),"",SUMIFS(일일PnL!$F:$F,일일PnL!$A:$A,"&gt;="&amp;$B50,일일PnL!$A:$A,"&lt;="&amp;$C50))</f>
        <v/>
      </c>
      <c r="F50" s="34" t="str">
        <f aca="false">IF(OR($B50="",$C50=""),"",SUMIFS(일일PnL!$G:$G,일일PnL!$A:$A,"&gt;="&amp;$B50,일일PnL!$A:$A,"&lt;="&amp;$C50))</f>
        <v/>
      </c>
      <c r="G50" s="35" t="str">
        <f aca="false">IF(OR($B50="",$C50=""),"",IFERROR(AVERAGEIFS(매매일지!$P:$P,매매일지!$B:$B,"&gt;="&amp;$B50,매매일지!$B:$B,"&lt;="&amp;$C50),""))</f>
        <v/>
      </c>
      <c r="H50" s="35" t="str">
        <f aca="false">IF(OR($B50="",$C50=""),"",IFERROR(AVERAGEIFS(매매일지!$Q:$Q,매매일지!$B:$B,"&gt;="&amp;$B50,매매일지!$B:$B,"&lt;="&amp;$C50),""))</f>
        <v/>
      </c>
      <c r="I50" s="36" t="str">
        <f aca="false">IF(OR($B50="",$C50=""),"",COUNTIFS(매매일지!$B:$B,"&gt;="&amp;$B50,매매일지!$B:$B,"&lt;="&amp;$C50,매매일지!$R:$R,"위반"))</f>
        <v/>
      </c>
      <c r="J50" s="44"/>
      <c r="K50" s="44"/>
      <c r="L50" s="44"/>
    </row>
    <row r="51" customFormat="false" ht="15" hidden="false" customHeight="false" outlineLevel="0" collapsed="false">
      <c r="A51" s="28"/>
      <c r="B51" s="29"/>
      <c r="C51" s="29"/>
      <c r="D51" s="36" t="str">
        <f aca="false">IF(OR($B51="",$C51=""),"",COUNTIFS(매매일지!$B:$B,"&gt;="&amp;$B51,매매일지!$B:$B,"&lt;="&amp;$C51))</f>
        <v/>
      </c>
      <c r="E51" s="34" t="str">
        <f aca="false">IF(OR($B51="",$C51=""),"",SUMIFS(일일PnL!$F:$F,일일PnL!$A:$A,"&gt;="&amp;$B51,일일PnL!$A:$A,"&lt;="&amp;$C51))</f>
        <v/>
      </c>
      <c r="F51" s="34" t="str">
        <f aca="false">IF(OR($B51="",$C51=""),"",SUMIFS(일일PnL!$G:$G,일일PnL!$A:$A,"&gt;="&amp;$B51,일일PnL!$A:$A,"&lt;="&amp;$C51))</f>
        <v/>
      </c>
      <c r="G51" s="35" t="str">
        <f aca="false">IF(OR($B51="",$C51=""),"",IFERROR(AVERAGEIFS(매매일지!$P:$P,매매일지!$B:$B,"&gt;="&amp;$B51,매매일지!$B:$B,"&lt;="&amp;$C51),""))</f>
        <v/>
      </c>
      <c r="H51" s="35" t="str">
        <f aca="false">IF(OR($B51="",$C51=""),"",IFERROR(AVERAGEIFS(매매일지!$Q:$Q,매매일지!$B:$B,"&gt;="&amp;$B51,매매일지!$B:$B,"&lt;="&amp;$C51),""))</f>
        <v/>
      </c>
      <c r="I51" s="36" t="str">
        <f aca="false">IF(OR($B51="",$C51=""),"",COUNTIFS(매매일지!$B:$B,"&gt;="&amp;$B51,매매일지!$B:$B,"&lt;="&amp;$C51,매매일지!$R:$R,"위반"))</f>
        <v/>
      </c>
      <c r="J51" s="44"/>
      <c r="K51" s="44"/>
      <c r="L51" s="44"/>
    </row>
    <row r="52" customFormat="false" ht="15" hidden="false" customHeight="false" outlineLevel="0" collapsed="false">
      <c r="A52" s="28"/>
      <c r="B52" s="29"/>
      <c r="C52" s="29"/>
      <c r="D52" s="36" t="str">
        <f aca="false">IF(OR($B52="",$C52=""),"",COUNTIFS(매매일지!$B:$B,"&gt;="&amp;$B52,매매일지!$B:$B,"&lt;="&amp;$C52))</f>
        <v/>
      </c>
      <c r="E52" s="34" t="str">
        <f aca="false">IF(OR($B52="",$C52=""),"",SUMIFS(일일PnL!$F:$F,일일PnL!$A:$A,"&gt;="&amp;$B52,일일PnL!$A:$A,"&lt;="&amp;$C52))</f>
        <v/>
      </c>
      <c r="F52" s="34" t="str">
        <f aca="false">IF(OR($B52="",$C52=""),"",SUMIFS(일일PnL!$G:$G,일일PnL!$A:$A,"&gt;="&amp;$B52,일일PnL!$A:$A,"&lt;="&amp;$C52))</f>
        <v/>
      </c>
      <c r="G52" s="35" t="str">
        <f aca="false">IF(OR($B52="",$C52=""),"",IFERROR(AVERAGEIFS(매매일지!$P:$P,매매일지!$B:$B,"&gt;="&amp;$B52,매매일지!$B:$B,"&lt;="&amp;$C52),""))</f>
        <v/>
      </c>
      <c r="H52" s="35" t="str">
        <f aca="false">IF(OR($B52="",$C52=""),"",IFERROR(AVERAGEIFS(매매일지!$Q:$Q,매매일지!$B:$B,"&gt;="&amp;$B52,매매일지!$B:$B,"&lt;="&amp;$C52),""))</f>
        <v/>
      </c>
      <c r="I52" s="36" t="str">
        <f aca="false">IF(OR($B52="",$C52=""),"",COUNTIFS(매매일지!$B:$B,"&gt;="&amp;$B52,매매일지!$B:$B,"&lt;="&amp;$C52,매매일지!$R:$R,"위반"))</f>
        <v/>
      </c>
      <c r="J52" s="44"/>
      <c r="K52" s="44"/>
      <c r="L52" s="44"/>
    </row>
    <row r="53" customFormat="false" ht="15" hidden="false" customHeight="false" outlineLevel="0" collapsed="false">
      <c r="A53" s="28"/>
      <c r="B53" s="29"/>
      <c r="C53" s="29"/>
      <c r="D53" s="36" t="str">
        <f aca="false">IF(OR($B53="",$C53=""),"",COUNTIFS(매매일지!$B:$B,"&gt;="&amp;$B53,매매일지!$B:$B,"&lt;="&amp;$C53))</f>
        <v/>
      </c>
      <c r="E53" s="34" t="str">
        <f aca="false">IF(OR($B53="",$C53=""),"",SUMIFS(일일PnL!$F:$F,일일PnL!$A:$A,"&gt;="&amp;$B53,일일PnL!$A:$A,"&lt;="&amp;$C53))</f>
        <v/>
      </c>
      <c r="F53" s="34" t="str">
        <f aca="false">IF(OR($B53="",$C53=""),"",SUMIFS(일일PnL!$G:$G,일일PnL!$A:$A,"&gt;="&amp;$B53,일일PnL!$A:$A,"&lt;="&amp;$C53))</f>
        <v/>
      </c>
      <c r="G53" s="35" t="str">
        <f aca="false">IF(OR($B53="",$C53=""),"",IFERROR(AVERAGEIFS(매매일지!$P:$P,매매일지!$B:$B,"&gt;="&amp;$B53,매매일지!$B:$B,"&lt;="&amp;$C53),""))</f>
        <v/>
      </c>
      <c r="H53" s="35" t="str">
        <f aca="false">IF(OR($B53="",$C53=""),"",IFERROR(AVERAGEIFS(매매일지!$Q:$Q,매매일지!$B:$B,"&gt;="&amp;$B53,매매일지!$B:$B,"&lt;="&amp;$C53),""))</f>
        <v/>
      </c>
      <c r="I53" s="36" t="str">
        <f aca="false">IF(OR($B53="",$C53=""),"",COUNTIFS(매매일지!$B:$B,"&gt;="&amp;$B53,매매일지!$B:$B,"&lt;="&amp;$C53,매매일지!$R:$R,"위반"))</f>
        <v/>
      </c>
      <c r="J53" s="44"/>
      <c r="K53" s="44"/>
      <c r="L53" s="44"/>
    </row>
    <row r="54" customFormat="false" ht="15" hidden="false" customHeight="false" outlineLevel="0" collapsed="false">
      <c r="A54" s="28"/>
      <c r="B54" s="29"/>
      <c r="C54" s="29"/>
      <c r="D54" s="36" t="str">
        <f aca="false">IF(OR($B54="",$C54=""),"",COUNTIFS(매매일지!$B:$B,"&gt;="&amp;$B54,매매일지!$B:$B,"&lt;="&amp;$C54))</f>
        <v/>
      </c>
      <c r="E54" s="34" t="str">
        <f aca="false">IF(OR($B54="",$C54=""),"",SUMIFS(일일PnL!$F:$F,일일PnL!$A:$A,"&gt;="&amp;$B54,일일PnL!$A:$A,"&lt;="&amp;$C54))</f>
        <v/>
      </c>
      <c r="F54" s="34" t="str">
        <f aca="false">IF(OR($B54="",$C54=""),"",SUMIFS(일일PnL!$G:$G,일일PnL!$A:$A,"&gt;="&amp;$B54,일일PnL!$A:$A,"&lt;="&amp;$C54))</f>
        <v/>
      </c>
      <c r="G54" s="35" t="str">
        <f aca="false">IF(OR($B54="",$C54=""),"",IFERROR(AVERAGEIFS(매매일지!$P:$P,매매일지!$B:$B,"&gt;="&amp;$B54,매매일지!$B:$B,"&lt;="&amp;$C54),""))</f>
        <v/>
      </c>
      <c r="H54" s="35" t="str">
        <f aca="false">IF(OR($B54="",$C54=""),"",IFERROR(AVERAGEIFS(매매일지!$Q:$Q,매매일지!$B:$B,"&gt;="&amp;$B54,매매일지!$B:$B,"&lt;="&amp;$C54),""))</f>
        <v/>
      </c>
      <c r="I54" s="36" t="str">
        <f aca="false">IF(OR($B54="",$C54=""),"",COUNTIFS(매매일지!$B:$B,"&gt;="&amp;$B54,매매일지!$B:$B,"&lt;="&amp;$C54,매매일지!$R:$R,"위반"))</f>
        <v/>
      </c>
      <c r="J54" s="44"/>
      <c r="K54" s="44"/>
      <c r="L54" s="44"/>
    </row>
    <row r="55" customFormat="false" ht="15" hidden="false" customHeight="false" outlineLevel="0" collapsed="false">
      <c r="A55" s="28"/>
      <c r="B55" s="29"/>
      <c r="C55" s="29"/>
      <c r="D55" s="36" t="str">
        <f aca="false">IF(OR($B55="",$C55=""),"",COUNTIFS(매매일지!$B:$B,"&gt;="&amp;$B55,매매일지!$B:$B,"&lt;="&amp;$C55))</f>
        <v/>
      </c>
      <c r="E55" s="34" t="str">
        <f aca="false">IF(OR($B55="",$C55=""),"",SUMIFS(일일PnL!$F:$F,일일PnL!$A:$A,"&gt;="&amp;$B55,일일PnL!$A:$A,"&lt;="&amp;$C55))</f>
        <v/>
      </c>
      <c r="F55" s="34" t="str">
        <f aca="false">IF(OR($B55="",$C55=""),"",SUMIFS(일일PnL!$G:$G,일일PnL!$A:$A,"&gt;="&amp;$B55,일일PnL!$A:$A,"&lt;="&amp;$C55))</f>
        <v/>
      </c>
      <c r="G55" s="35" t="str">
        <f aca="false">IF(OR($B55="",$C55=""),"",IFERROR(AVERAGEIFS(매매일지!$P:$P,매매일지!$B:$B,"&gt;="&amp;$B55,매매일지!$B:$B,"&lt;="&amp;$C55),""))</f>
        <v/>
      </c>
      <c r="H55" s="35" t="str">
        <f aca="false">IF(OR($B55="",$C55=""),"",IFERROR(AVERAGEIFS(매매일지!$Q:$Q,매매일지!$B:$B,"&gt;="&amp;$B55,매매일지!$B:$B,"&lt;="&amp;$C55),""))</f>
        <v/>
      </c>
      <c r="I55" s="36" t="str">
        <f aca="false">IF(OR($B55="",$C55=""),"",COUNTIFS(매매일지!$B:$B,"&gt;="&amp;$B55,매매일지!$B:$B,"&lt;="&amp;$C55,매매일지!$R:$R,"위반"))</f>
        <v/>
      </c>
      <c r="J55" s="44"/>
      <c r="K55" s="44"/>
      <c r="L55" s="44"/>
    </row>
    <row r="56" customFormat="false" ht="15" hidden="false" customHeight="false" outlineLevel="0" collapsed="false">
      <c r="A56" s="28"/>
      <c r="B56" s="29"/>
      <c r="C56" s="29"/>
      <c r="D56" s="36" t="str">
        <f aca="false">IF(OR($B56="",$C56=""),"",COUNTIFS(매매일지!$B:$B,"&gt;="&amp;$B56,매매일지!$B:$B,"&lt;="&amp;$C56))</f>
        <v/>
      </c>
      <c r="E56" s="34" t="str">
        <f aca="false">IF(OR($B56="",$C56=""),"",SUMIFS(일일PnL!$F:$F,일일PnL!$A:$A,"&gt;="&amp;$B56,일일PnL!$A:$A,"&lt;="&amp;$C56))</f>
        <v/>
      </c>
      <c r="F56" s="34" t="str">
        <f aca="false">IF(OR($B56="",$C56=""),"",SUMIFS(일일PnL!$G:$G,일일PnL!$A:$A,"&gt;="&amp;$B56,일일PnL!$A:$A,"&lt;="&amp;$C56))</f>
        <v/>
      </c>
      <c r="G56" s="35" t="str">
        <f aca="false">IF(OR($B56="",$C56=""),"",IFERROR(AVERAGEIFS(매매일지!$P:$P,매매일지!$B:$B,"&gt;="&amp;$B56,매매일지!$B:$B,"&lt;="&amp;$C56),""))</f>
        <v/>
      </c>
      <c r="H56" s="35" t="str">
        <f aca="false">IF(OR($B56="",$C56=""),"",IFERROR(AVERAGEIFS(매매일지!$Q:$Q,매매일지!$B:$B,"&gt;="&amp;$B56,매매일지!$B:$B,"&lt;="&amp;$C56),""))</f>
        <v/>
      </c>
      <c r="I56" s="36" t="str">
        <f aca="false">IF(OR($B56="",$C56=""),"",COUNTIFS(매매일지!$B:$B,"&gt;="&amp;$B56,매매일지!$B:$B,"&lt;="&amp;$C56,매매일지!$R:$R,"위반"))</f>
        <v/>
      </c>
      <c r="J56" s="44"/>
      <c r="K56" s="44"/>
      <c r="L56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2026-10-13T06:15:59Z</dcterms:created>
  <dc:creator>openpyxl</dc:creator>
  <dc:description/>
  <dc:language>en-US</dc:language>
  <cp:lastModifiedBy/>
  <dcterms:modified xsi:type="dcterms:W3CDTF">2026-10-13T06:15:59Z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